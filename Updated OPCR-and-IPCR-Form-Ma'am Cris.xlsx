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User\Desktop\"/>
    </mc:Choice>
  </mc:AlternateContent>
  <bookViews>
    <workbookView xWindow="-120" yWindow="-120" windowWidth="29040" windowHeight="15720" activeTab="1"/>
  </bookViews>
  <sheets>
    <sheet name="IPCRF-January to June, 2026" sheetId="17" r:id="rId1"/>
    <sheet name="OPCFR-January to June, 2026" sheetId="18" r:id="rId2"/>
  </sheets>
  <calcPr calcId="162913"/>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51" i="17" l="1"/>
  <c r="O51" i="17" s="1"/>
  <c r="P51" i="17" s="1"/>
  <c r="N39" i="17"/>
  <c r="O39" i="17" s="1"/>
  <c r="P39" i="17" s="1"/>
</calcChain>
</file>

<file path=xl/sharedStrings.xml><?xml version="1.0" encoding="utf-8"?>
<sst xmlns="http://schemas.openxmlformats.org/spreadsheetml/2006/main" count="370" uniqueCount="228">
  <si>
    <t>Prepared by:</t>
  </si>
  <si>
    <t>Date</t>
  </si>
  <si>
    <t>Approved by:</t>
  </si>
  <si>
    <t>RATING</t>
  </si>
  <si>
    <t>SCALE</t>
  </si>
  <si>
    <t>MFO/PAP</t>
  </si>
  <si>
    <t>Remarks</t>
  </si>
  <si>
    <t>Q</t>
  </si>
  <si>
    <t>E</t>
  </si>
  <si>
    <t>T</t>
  </si>
  <si>
    <t>A</t>
  </si>
  <si>
    <t>SUMMARY OF RATING</t>
  </si>
  <si>
    <t>TOTAL</t>
  </si>
  <si>
    <t>Final Numerical Rating</t>
  </si>
  <si>
    <t>Final Adjectival Rating</t>
  </si>
  <si>
    <t>SO/CF</t>
  </si>
  <si>
    <t>SF</t>
  </si>
  <si>
    <t>Comments and Recommendation for Development Purposes:</t>
  </si>
  <si>
    <t>Reviewed by:</t>
  </si>
  <si>
    <t>Municipal Mayor</t>
  </si>
  <si>
    <t>Ratee</t>
  </si>
  <si>
    <t>Date:</t>
  </si>
  <si>
    <t>(Immediate Supervisor/Dept. Head)</t>
  </si>
  <si>
    <t>(Head of Agency)</t>
  </si>
  <si>
    <t>5 - Outstanding</t>
  </si>
  <si>
    <t>4 - Very Satisfactory</t>
  </si>
  <si>
    <t>3 - Satisfactory</t>
  </si>
  <si>
    <t>2 - Unsatisfactory</t>
  </si>
  <si>
    <t>1 - Poor</t>
  </si>
  <si>
    <t xml:space="preserve">SUCCESS INDICATORS </t>
  </si>
  <si>
    <t>Actual Accomplishment</t>
  </si>
  <si>
    <t>Rating</t>
  </si>
  <si>
    <t>(TARGETS + MEASURES)</t>
  </si>
  <si>
    <t>CORE FUNCTIONS:</t>
  </si>
  <si>
    <t>4.67</t>
  </si>
  <si>
    <t>4.33</t>
  </si>
  <si>
    <t>4</t>
  </si>
  <si>
    <t>SUPPORT FUNCTIONS</t>
  </si>
  <si>
    <t>5</t>
  </si>
  <si>
    <t>Formula: (total of all average rating /no. of entries) x 90%</t>
  </si>
  <si>
    <t>Formula: (total of all average rating /no. of entries) x 10%</t>
  </si>
  <si>
    <t xml:space="preserve">Reviewed:                                     </t>
  </si>
  <si>
    <t>Final Rating by:</t>
  </si>
  <si>
    <t xml:space="preserve">All supplies and materials purchased  shall have been correctly recorded in the stock cards. </t>
  </si>
  <si>
    <t>100% of supplies and materials purchased are correctly recorded in stock cards.</t>
  </si>
  <si>
    <t>100% of the requests shall have been acted upon promptly.</t>
  </si>
  <si>
    <t>ERNIE T. UY, RN, JD</t>
  </si>
  <si>
    <t>OFFICE PERFORMANCE COMMITMENT AND REVIEW FORM (OPCRF)</t>
  </si>
  <si>
    <t xml:space="preserve"> </t>
  </si>
  <si>
    <t>100% of the municipal vehicle shall have been registered and insured</t>
  </si>
  <si>
    <t>100% of the municipal vehicles were registered and insured</t>
  </si>
  <si>
    <t>100% monthly fuel consumption did not exceed to 600 thousand pesos</t>
  </si>
  <si>
    <t>100% of the selected buildings shall been protected with fire insurance</t>
  </si>
  <si>
    <t>2 out of 2 selected buildings are protected with fire insurance</t>
  </si>
  <si>
    <t xml:space="preserve">100% of PRs, Requests for Sealed Quotations, POs, JRs, and JOs  subjected for numbering shall  have been properly numbered. </t>
  </si>
  <si>
    <t xml:space="preserve">100% of PRs, Requests for Sealed Quotations, POs, JRs, and JOs  subjected for numbering were properly  assigned numbers. </t>
  </si>
  <si>
    <t>100% of the property acquired shall have been properly numbered with a corresponding property card each.</t>
  </si>
  <si>
    <t>100% of the property acquired are properly numbered with corresponding property card each.</t>
  </si>
  <si>
    <t xml:space="preserve">100% of procured supplies,materials,and equipment shall have been  properly issued and received by concerned personnel using the appropriate document as proofs of receipt. </t>
  </si>
  <si>
    <t>100% of procured supplies,materials,and equipment were properly issued and received by concerned personnel with the appropriate  use of RIS, ICS, and ARE.</t>
  </si>
  <si>
    <t>100 % of the inventory reports submitted by the offices  are accurately  consolidated, reviewed and submitted to the COA within the first quarter of the calendar year.</t>
  </si>
  <si>
    <t>100% of the accurate inventory reports are consolidated, reviewed and submitted to the COA within the first quarter of the calendar year.</t>
  </si>
  <si>
    <t>100% of the requested donation was approved by the local sanggunian.</t>
  </si>
  <si>
    <t xml:space="preserve">100% of the personnel in the office shall have been  regularly monitored to check the performance  of their duties and functions. </t>
  </si>
  <si>
    <t>100% of the personnel were monitored daily  to ensure that tasks were carried out  properly.</t>
  </si>
  <si>
    <t>Memoranda, orders, MOA  and letters shall have been properly prepared.</t>
  </si>
  <si>
    <t>All memoranda, executive orders, MOA and letters requested were promptly prepared.</t>
  </si>
  <si>
    <t>100% of the required responsibilities shall have been been carried out.</t>
  </si>
  <si>
    <t>100% of the responsibilities attached to the designation were properly  carried out as scheduled</t>
  </si>
  <si>
    <t>100 % of the activities in the SDG-FACEs workplan shall have been implemented as scheduled</t>
  </si>
  <si>
    <t>100% of the SDG-FACEs activities were promptly carried out based on schedule</t>
  </si>
  <si>
    <t xml:space="preserve">100% of all department and committee meetings shall have been actively participated. </t>
  </si>
  <si>
    <t>100% of required flag raising and lowering ceremonies shall have been attended.</t>
  </si>
  <si>
    <t>100% of correctly-prepared reports required by DILG, ARTA and DICT shall been submitted on time.</t>
  </si>
  <si>
    <t>100% of the correctly prepared  reports required  by the previously mentioned agencies were submitted on time (Initial Reengineering Plan, Zero Backlog program report, Updated Citizen's Charter, Client Satisfaction Measurement Report DICT monthly reports and other Requirements.</t>
  </si>
  <si>
    <t xml:space="preserve">                                                                                                                                                                                                                                                                                                                                                                                                                                                                                                              </t>
  </si>
  <si>
    <t>PMT Members</t>
  </si>
  <si>
    <t>100% of the personnel including the assigned direct supervisor for general utility work shall have been closely monitored</t>
  </si>
  <si>
    <t>100% of the personnel are closely monitored</t>
  </si>
  <si>
    <t xml:space="preserve">100% of required virtual and face to face conferences and trainings shall have been attended and required reports and activities shall been carried out. </t>
  </si>
  <si>
    <t>VS</t>
  </si>
  <si>
    <t>INDIVIDUAL PERFORMANCE COMMITMENT AND REVIEW FORM (IPCRF)</t>
  </si>
  <si>
    <t>Municipal Mayor                                                                                                                            (Head of Agency)</t>
  </si>
  <si>
    <t>100% of the Moral Recovery Program activities designed for the semester shall have been carried out</t>
  </si>
  <si>
    <t>100% of the Regular monthly Moral Recovery Program activity is carried out</t>
  </si>
  <si>
    <t>LUCRECIA C. NICOLAS              ____________________</t>
  </si>
  <si>
    <t>MARY ANN Y. ACASO                 ____________________</t>
  </si>
  <si>
    <t>DINDO M. AMORGANDA             ____________________</t>
  </si>
  <si>
    <t>ELAN D. CADAYDAY                   ____________________</t>
  </si>
  <si>
    <t>BRIAN D. AUSEJO                      ____________________</t>
  </si>
  <si>
    <t>100% of the municipal streets are cleaned, grasscut, etc. daily or as needed</t>
  </si>
  <si>
    <t>95% of the municipal streets are cleaned, grasscut, etc. daily or as needed</t>
  </si>
  <si>
    <t>100% of vacant positions shall have been published in the CSC job portal and other places accessible to the public</t>
  </si>
  <si>
    <t>100% of applicants shall been screened and documents evaluated for appointment</t>
  </si>
  <si>
    <t>90% of vacant positions were published in the CSC job portal and other places accessible to the public</t>
  </si>
  <si>
    <t>100% of applicants were screened and documents evaluated for appointment</t>
  </si>
  <si>
    <t>100% of appointees shall have signed their appointments</t>
  </si>
  <si>
    <t>100% of appointees were issued appointments and duly signed the documents.</t>
  </si>
  <si>
    <t>MGDH-I (GSO)/HRMO-Designate</t>
  </si>
  <si>
    <t>LUCRECIA C. NICOLAS, MAEd</t>
  </si>
  <si>
    <t xml:space="preserve">The    General    Services    Office   of    the   LGU-Mabinay,    commit     to    deliver     and     agree    to    be    rated    on    the    attainment    of    the </t>
  </si>
  <si>
    <t>Requested transfer was carried out immediately after the approval.</t>
  </si>
  <si>
    <t>100% of the disposal of unserviceable property shall have been supervised properly.</t>
  </si>
  <si>
    <t>100% of the fuel consumption shall been monitorized not to exceed the 600 thousand pesos monthly utilization</t>
  </si>
  <si>
    <t xml:space="preserve">100% of the fuel slips shall have been issued and payment documents prepared properly </t>
  </si>
  <si>
    <t xml:space="preserve">100% of the fuel slips were issued and payment documents prepared properly </t>
  </si>
  <si>
    <t>100% of the motorpool operations shall have been monitored and supervised promptly.</t>
  </si>
  <si>
    <t>100% of the motorpool operations were monitored and supervised promptly.</t>
  </si>
  <si>
    <t>100% of the Mabinay Spring Resort operations shall have been monitored and supervised promptly.</t>
  </si>
  <si>
    <t>100% of the Mabinay Spring Resort  operations were monitored and supervised promptly.</t>
  </si>
  <si>
    <t>100% of personnel's records shall have been updated</t>
  </si>
  <si>
    <t>100% of personnel's records were updated</t>
  </si>
  <si>
    <t>100% of the appointments were submitted on time.</t>
  </si>
  <si>
    <t>100% of the appointments shall have been submitted on time.</t>
  </si>
  <si>
    <t>100% of the Form 6 shall have been computed and submitted properly.</t>
  </si>
  <si>
    <t>100% of the Form 6 were computed and submitted properly.</t>
  </si>
  <si>
    <t>ELAN D. CADAYDAY               ____________________</t>
  </si>
  <si>
    <t>DINDO M. AMORGANDA          ____________________</t>
  </si>
  <si>
    <t>LUCRECIA C. NICOLAS          ____________________</t>
  </si>
  <si>
    <t>MARY ANN Y. ACASO             ____________________</t>
  </si>
  <si>
    <t>BRIAN D. AUSEJO                  ____________________</t>
  </si>
  <si>
    <t>Date: _______________</t>
  </si>
  <si>
    <t>OPERATIONAL MANAGEMENT</t>
  </si>
  <si>
    <t>SERVICE DELIVERY AND PUBLIC ENGAGEMENT</t>
  </si>
  <si>
    <t>STRATEGIC PLANNING AND OVERSIGHT</t>
  </si>
  <si>
    <t>FINANCIAL RESOURCE MANAGEMENT</t>
  </si>
  <si>
    <t>REPORTING AND REPRESENTATION</t>
  </si>
  <si>
    <t>COMPLIANCE AND REGULATION</t>
  </si>
  <si>
    <t>100% of national and local policies are translated into actionable programs and projects and execution of these initiatives are fully supervised</t>
  </si>
  <si>
    <t>100% of the staff are given directions and specific tasks for the operations of the department and completely supervised</t>
  </si>
  <si>
    <t>100% of the basic services of the office are effectively and efficiently carried out</t>
  </si>
  <si>
    <t xml:space="preserve">100% of meetings, conferences, assemblies and the like involving various stakeholders are attended to </t>
  </si>
  <si>
    <t>PERSONNEL MANAGEMENT</t>
  </si>
  <si>
    <t xml:space="preserve">100% of the personnel are trained, mentored, and coached </t>
  </si>
  <si>
    <t>100% of the IPCRFs are reviewed and ratings are agreed upon by the personnel concerned</t>
  </si>
  <si>
    <t>Shall have prepared annual budget and managed funds effectively and efficiently</t>
  </si>
  <si>
    <t>Shall have maintained 100% of the property under the custody of the office</t>
  </si>
  <si>
    <t xml:space="preserve">Shall have perfomed coordinating tasks as the need arises </t>
  </si>
  <si>
    <t>Shall have submitted 100% of the required reports by higher authorities</t>
  </si>
  <si>
    <t>Shall have ensured that rules, regulations, and laws established in the office are fully adhered to</t>
  </si>
  <si>
    <t>Shall have conducted performance evaluation to check effectiveness of implemented programs and projects</t>
  </si>
  <si>
    <t>Shall have managed effectively and efficiently of the Human Resource programs and projects of the municipal government</t>
  </si>
  <si>
    <t>Shall have fully complied with civil service laws and regulations</t>
  </si>
  <si>
    <t>Shall have fully ensured compliance to laws and regulations of ARTA</t>
  </si>
  <si>
    <t>100% of the staff were given directions and specific tasks for the operations of the department and 95% were supervised</t>
  </si>
  <si>
    <t>95% of national and local policies were translated into actionable programs and projects and execution of these initiatives were fully supervised</t>
  </si>
  <si>
    <t>100% of the basic services of the office were effectively carried out with 90% efficiency</t>
  </si>
  <si>
    <t xml:space="preserve">100% of meetings, conferences, assemblies and the like involving various stakeholders were attended to </t>
  </si>
  <si>
    <t xml:space="preserve">90% of the personnel were trained, mentored, and coached </t>
  </si>
  <si>
    <t>100% of the IPCRFs were reviewed and ratings are agreed upon by the personnel concerned</t>
  </si>
  <si>
    <t>100% of training workshops to formulate plans for the department and municipality are participated in</t>
  </si>
  <si>
    <t>100% of training workshops to formulate plans for the department and municipality were participated in</t>
  </si>
  <si>
    <t>Prepared the required annual budget and funds were spent based on PPMP and APP</t>
  </si>
  <si>
    <t xml:space="preserve">90% of the property were maintained </t>
  </si>
  <si>
    <t xml:space="preserve">Coordinated with other offices when required </t>
  </si>
  <si>
    <t>100% of the required reports were submitted to the higher authorities</t>
  </si>
  <si>
    <t>Made sure that 100% of established rules, regulations, and laws of the office were fully adhered to</t>
  </si>
  <si>
    <t>Fully ensured that quarterly department evaluation was carried out</t>
  </si>
  <si>
    <t>100% of Human Resource activities were carried out</t>
  </si>
  <si>
    <t>100% of advocacy programs to inform personnel of Civil Service laws and regulations were carried out</t>
  </si>
  <si>
    <t>Shall have fully managed and supervised the programs, projects, and activities of the Municipal Transformation Office</t>
  </si>
  <si>
    <t>Completely managed and supervised the programs, projects, and activities of the Municipal Transformation Office</t>
  </si>
  <si>
    <t>100% of required ARTA reports were submitted on time</t>
  </si>
  <si>
    <t>Attended 98% of required flag raising and lowering ceremonies</t>
  </si>
  <si>
    <t>98% of  department and committee meetings were actively participated in</t>
  </si>
  <si>
    <t>Attended 100% of required virtual and face to face conferences and trainings, and required reports and activities were carried out</t>
  </si>
  <si>
    <t>POLICY AND PROGRAM IMPLEMENTATION</t>
  </si>
  <si>
    <t>•Ensures effective and efficient delivery of the basic services of the office</t>
  </si>
  <si>
    <t>• Ensures that office personnel are continously undergoing training/mentoring/coaching sessions to ensure professional growth</t>
  </si>
  <si>
    <t>• Ensures that personnel performance evaluation is given paramount importance</t>
  </si>
  <si>
    <t>• Prepares budget, monitoring the use of funds and controlling expenditures to ensure fiscal responsibility and sustainability</t>
  </si>
  <si>
    <t>• Maintains government under the custody of the office</t>
  </si>
  <si>
    <t>• Translates national and local policies into actionable plans, program and projects within the department  and overseeing the execution of these initiatives to ensure they are carried out effectively and efficiently</t>
  </si>
  <si>
    <t>• Facilitates coordination among various stakeholders of the LGU including the community and other government entities</t>
  </si>
  <si>
    <t>• Formulates long-term strategies for the department and the municipality</t>
  </si>
  <si>
    <t>• Communicates with other government offices and units, national agencies and the public</t>
  </si>
  <si>
    <t>• Reports on departmental performance and compliance to higher authorities</t>
  </si>
  <si>
    <t>• Ensures that all departmental operations and staff adhere to established rules, regulations, and laws</t>
  </si>
  <si>
    <t>• Evaluates the performance of the department and the effectiveness of implemented programs and projects.</t>
  </si>
  <si>
    <t>100% of required maneagerials and supervisory tasks needed by the resort shall have been carried out</t>
  </si>
  <si>
    <t>90% of the resort's required transactions and tasks were supervised</t>
  </si>
  <si>
    <t>0.429</t>
  </si>
  <si>
    <t>• Directs and supervises the daily operations of the department</t>
  </si>
  <si>
    <r>
      <t xml:space="preserve">          I,    </t>
    </r>
    <r>
      <rPr>
        <u/>
        <sz val="14"/>
        <color theme="1"/>
        <rFont val="Arial Narrow"/>
        <family val="2"/>
      </rPr>
      <t>LUCRECIA   C.   NICOLAS</t>
    </r>
    <r>
      <rPr>
        <sz val="14"/>
        <color theme="1"/>
        <rFont val="Arial Narrow"/>
        <family val="2"/>
      </rPr>
      <t xml:space="preserve"> ,   </t>
    </r>
    <r>
      <rPr>
        <u/>
        <sz val="14"/>
        <color theme="1"/>
        <rFont val="Arial Narrow"/>
        <family val="2"/>
      </rPr>
      <t>General    Services    Officer</t>
    </r>
    <r>
      <rPr>
        <sz val="14"/>
        <color theme="1"/>
        <rFont val="Arial Narrow"/>
        <family val="2"/>
      </rPr>
      <t xml:space="preserve">,   of    the   </t>
    </r>
    <r>
      <rPr>
        <u/>
        <sz val="14"/>
        <color theme="1"/>
        <rFont val="Arial Narrow"/>
        <family val="2"/>
      </rPr>
      <t>LGU-Mabinay</t>
    </r>
    <r>
      <rPr>
        <sz val="14"/>
        <color theme="1"/>
        <rFont val="Arial Narrow"/>
        <family val="2"/>
      </rPr>
      <t xml:space="preserve">,    commit     to    deliver     and     agree    to    be    rated    on    the    attainment    of    the </t>
    </r>
  </si>
  <si>
    <t>• Carry out the functions of an Anti-Red Tape Focal Person, Public Assistance and Complaints Desk Officer BPLS Focal Person and Municipal Transformation Officer</t>
  </si>
  <si>
    <t>•  Submit reports required by ARTA, DILG and DICT</t>
  </si>
  <si>
    <t>HUMAN RESOURCE MANAGEMENT</t>
  </si>
  <si>
    <t>• Monitor and supervise Mabinay Spring Resort operations</t>
  </si>
  <si>
    <t xml:space="preserve">• Assign numbers to PRs, Pos, JRs, and JOs    </t>
  </si>
  <si>
    <t>• Assign property number and keep a property card for each property acquired</t>
  </si>
  <si>
    <t>• Keep a stock card of supplies and materials procured</t>
  </si>
  <si>
    <t>• Issue RIS,ICS, and ARE/PAR as the case may require</t>
  </si>
  <si>
    <t>•  Conduct inventory of PPEs supplies and materials in all offices or departments</t>
  </si>
  <si>
    <t xml:space="preserve">• Recommend transfer of unserviceable property/ donation of a serviceable property as requested by the concerned agency/organization </t>
  </si>
  <si>
    <t>• Ensure disposal of unserviceable property</t>
  </si>
  <si>
    <t>• Ensure timely registration/renewal of registration and insurance vehicles</t>
  </si>
  <si>
    <t>• Issue fuel slips and prepare payment documents</t>
  </si>
  <si>
    <t>• Ensure proper utilization of fuel for heavy equipment and other vehicles</t>
  </si>
  <si>
    <t>• Acquire fire insurance for selected buildings</t>
  </si>
  <si>
    <t>• Ensure that assigned areas for cleaning and upkeeping are properly maintained</t>
  </si>
  <si>
    <t>• Perform supervisory functions among personnel of the office</t>
  </si>
  <si>
    <t>• Supervise general utility work in municipal streets, park and plaza</t>
  </si>
  <si>
    <t>• Monitor and supervise motorpool operations</t>
  </si>
  <si>
    <t>• Prepare memoranda,executive orders, MOA, letters etc. as requested by the office of the mayor</t>
  </si>
  <si>
    <t>• Ensures compliance to laws and regulations of the Anti-Red Tape Authority</t>
  </si>
  <si>
    <t xml:space="preserve">• Implement the SDG-FACEs program </t>
  </si>
  <si>
    <t>• Implement the monthly Moral Recovery Program activity as part of the Human Resource Capacity Enhancement Initiative</t>
  </si>
  <si>
    <t>• Manage and supervise the programs, projects, and activities of the Municipal Transformation Office</t>
  </si>
  <si>
    <t>• Attends and participates in department head's meetings</t>
  </si>
  <si>
    <t>• Attends relevant virtual and face to face conferences and trainings</t>
  </si>
  <si>
    <t>• Attends flag raising and lowering ceremonies</t>
  </si>
  <si>
    <t>• Ensure timely submission of Form 6 computation of leave credits</t>
  </si>
  <si>
    <t>• Ensures timely submission of appointments</t>
  </si>
  <si>
    <t>• Ensure timely publication of vacant positions</t>
  </si>
  <si>
    <t>• Conduct accounting of personnel by updating their records</t>
  </si>
  <si>
    <t>• Conduct evaluation of documents, screening of applications and deliberation during Board meetings</t>
  </si>
  <si>
    <t>• Prepare appointments and other pertinent documents for personnel to be hired</t>
  </si>
  <si>
    <t>• Manages personnel within the Local Government Unit by handling recruitment, retention, training and performance evaluation</t>
  </si>
  <si>
    <t>• Ensures compliance with civil service laws and regulations</t>
  </si>
  <si>
    <t>3.944</t>
  </si>
  <si>
    <t>4.373‬</t>
  </si>
  <si>
    <t>• Ensures effective and efficient delivery of the basic services of the office</t>
  </si>
  <si>
    <t>• Maintains government property under the custody of the office</t>
  </si>
  <si>
    <t>4.027</t>
  </si>
  <si>
    <t>0.433</t>
  </si>
  <si>
    <t>Municipal Mayor                                                                                                                                                          (Head of Agency)</t>
  </si>
  <si>
    <r>
      <t xml:space="preserve">     following     targets     in    accordance    with     the     indicated     measures    for     the    period    </t>
    </r>
    <r>
      <rPr>
        <u/>
        <sz val="14"/>
        <color theme="1"/>
        <rFont val="Arial Narrow"/>
        <family val="2"/>
      </rPr>
      <t>January, 2026  -  June, 2026</t>
    </r>
    <r>
      <rPr>
        <sz val="14"/>
        <color theme="1"/>
        <rFont val="Arial Narrow"/>
        <family val="2"/>
      </rPr>
      <t>.</t>
    </r>
  </si>
  <si>
    <r>
      <t xml:space="preserve">     following     targets     in    accordance    with     the     indicated     measures    for     the    period    </t>
    </r>
    <r>
      <rPr>
        <u/>
        <sz val="14"/>
        <color theme="1"/>
        <rFont val="Arial Narrow"/>
        <family val="2"/>
      </rPr>
      <t>January, 2026  -  June, 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</si>
</sst>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22">
    <font>
      <sz val="11"/>
      <color theme="1"/>
      <name val="Calibri"/>
      <charset val="134"/>
      <scheme val="minor"/>
    </font>
    <font>
      <sz val="11"/>
      <color theme="1"/>
      <name val="Calibri"/>
      <family val="2"/>
      <scheme val="minor"/>
    </font>
    <font>
      <b/>
      <sz val="14"/>
      <color theme="1"/>
      <name val="Arial Narrow"/>
      <family val="2"/>
    </font>
    <font>
      <sz val="11"/>
      <color theme="1"/>
      <name val="Arial Narrow"/>
      <family val="2"/>
    </font>
    <font>
      <sz val="10"/>
      <color theme="1"/>
      <name val="Arial Narrow"/>
      <family val="2"/>
    </font>
    <font>
      <sz val="12"/>
      <color theme="1"/>
      <name val="Arial Narrow"/>
      <family val="2"/>
    </font>
    <font>
      <b/>
      <sz val="12"/>
      <color theme="1"/>
      <name val="Arial Narrow"/>
      <family val="2"/>
    </font>
    <font>
      <b/>
      <i/>
      <sz val="12"/>
      <color theme="1"/>
      <name val="Arial Narrow"/>
      <family val="2"/>
    </font>
    <font>
      <b/>
      <u/>
      <sz val="12"/>
      <color theme="1"/>
      <name val="Arial Narrow"/>
      <family val="2"/>
    </font>
    <font>
      <i/>
      <sz val="12"/>
      <color theme="1"/>
      <name val="Arial Narrow"/>
      <family val="2"/>
    </font>
    <font>
      <b/>
      <i/>
      <sz val="13"/>
      <color theme="1"/>
      <name val="Arial Narrow"/>
      <family val="2"/>
    </font>
    <font>
      <sz val="14"/>
      <color theme="1"/>
      <name val="Arial Narrow"/>
      <family val="2"/>
    </font>
    <font>
      <b/>
      <u/>
      <sz val="14"/>
      <color theme="1"/>
      <name val="Arial Narrow"/>
      <family val="2"/>
    </font>
    <font>
      <u/>
      <sz val="14"/>
      <color theme="1"/>
      <name val="Arial Narrow"/>
      <family val="2"/>
    </font>
    <font>
      <sz val="12"/>
      <color theme="1" tint="4.9989318521683403E-2"/>
      <name val="Arial Narrow"/>
      <family val="2"/>
    </font>
    <font>
      <sz val="11"/>
      <color theme="1" tint="4.9989318521683403E-2"/>
      <name val="Calibri"/>
      <family val="2"/>
      <scheme val="minor"/>
    </font>
    <font>
      <b/>
      <sz val="14"/>
      <color rgb="FFFF0000"/>
      <name val="Arial Narrow"/>
      <family val="2"/>
    </font>
    <font>
      <b/>
      <sz val="12"/>
      <color rgb="FFFF0000"/>
      <name val="Arial Narrow"/>
      <family val="2"/>
    </font>
    <font>
      <sz val="11"/>
      <color rgb="FFFF0000"/>
      <name val="Calibri"/>
      <family val="2"/>
      <scheme val="minor"/>
    </font>
    <font>
      <b/>
      <i/>
      <sz val="12"/>
      <color theme="1" tint="4.9989318521683403E-2"/>
      <name val="Arial Narrow"/>
      <family val="2"/>
    </font>
    <font>
      <sz val="11"/>
      <color theme="1" tint="4.9989318521683403E-2"/>
      <name val="Calibri"/>
      <family val="2"/>
      <scheme val="minor"/>
    </font>
    <font>
      <b/>
      <sz val="14"/>
      <color rgb="FFC00000"/>
      <name val="Arial Narrow"/>
      <family val="2"/>
    </font>
  </fonts>
  <fills count="2">
    <fill>
      <patternFill patternType="none"/>
    </fill>
    <fill>
      <patternFill patternType="gray125"/>
    </fill>
  </fills>
  <borders count="16">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21">
    <xf numFmtId="0" fontId="0" fillId="0" borderId="0" xfId="0"/>
    <xf numFmtId="0" fontId="0" fillId="0" borderId="1" xfId="0" applyBorder="1"/>
    <xf numFmtId="0" fontId="0" fillId="0" borderId="7" xfId="0" applyBorder="1"/>
    <xf numFmtId="0" fontId="3" fillId="0" borderId="0" xfId="0" applyFont="1"/>
    <xf numFmtId="0" fontId="4" fillId="0" borderId="0" xfId="0" applyFont="1"/>
    <xf numFmtId="0" fontId="4" fillId="0" borderId="13" xfId="0" applyFont="1" applyBorder="1"/>
    <xf numFmtId="0" fontId="4" fillId="0" borderId="14" xfId="0" applyFont="1" applyBorder="1"/>
    <xf numFmtId="0" fontId="5" fillId="0" borderId="4" xfId="0" applyFont="1" applyBorder="1"/>
    <xf numFmtId="0" fontId="5" fillId="0" borderId="6" xfId="0" applyFont="1" applyBorder="1"/>
    <xf numFmtId="0" fontId="5" fillId="0" borderId="8" xfId="0" applyFont="1" applyBorder="1"/>
    <xf numFmtId="0" fontId="5" fillId="0" borderId="11" xfId="0" applyFont="1" applyBorder="1"/>
    <xf numFmtId="0" fontId="5" fillId="0" borderId="10" xfId="0" applyFont="1" applyBorder="1"/>
    <xf numFmtId="0" fontId="5" fillId="0" borderId="9" xfId="0" applyFont="1" applyBorder="1"/>
    <xf numFmtId="0" fontId="5" fillId="0" borderId="5" xfId="0" applyFont="1" applyBorder="1"/>
    <xf numFmtId="0" fontId="5" fillId="0" borderId="0" xfId="0" applyFont="1"/>
    <xf numFmtId="0" fontId="5" fillId="0" borderId="1" xfId="0" applyFont="1" applyBorder="1"/>
    <xf numFmtId="0" fontId="5" fillId="0" borderId="8" xfId="0" applyFont="1" applyBorder="1" applyAlignment="1">
      <alignment horizontal="left" vertical="center"/>
    </xf>
    <xf numFmtId="0" fontId="5" fillId="0" borderId="7" xfId="0" applyFont="1" applyBorder="1"/>
    <xf numFmtId="0" fontId="6" fillId="0" borderId="1" xfId="0" applyFont="1" applyBorder="1"/>
    <xf numFmtId="0" fontId="5" fillId="0" borderId="4" xfId="0" applyFont="1" applyBorder="1" applyAlignment="1">
      <alignment horizontal="center"/>
    </xf>
    <xf numFmtId="0" fontId="5" fillId="0" borderId="2" xfId="0" applyFont="1" applyBorder="1"/>
    <xf numFmtId="0" fontId="5" fillId="0" borderId="3" xfId="0" applyFont="1" applyBorder="1"/>
    <xf numFmtId="0" fontId="6" fillId="0" borderId="15" xfId="0" applyFont="1" applyBorder="1" applyAlignment="1">
      <alignment horizontal="center"/>
    </xf>
    <xf numFmtId="0" fontId="6" fillId="0" borderId="13" xfId="0" applyFont="1" applyBorder="1"/>
    <xf numFmtId="0" fontId="6" fillId="0" borderId="0" xfId="0" applyFont="1"/>
    <xf numFmtId="0" fontId="5" fillId="0" borderId="3" xfId="0" applyFont="1" applyBorder="1" applyAlignment="1">
      <alignment horizontal="center"/>
    </xf>
    <xf numFmtId="0" fontId="10" fillId="0" borderId="0" xfId="0" applyFont="1" applyAlignment="1">
      <alignment horizontal="center"/>
    </xf>
    <xf numFmtId="0" fontId="7" fillId="0" borderId="0" xfId="0" applyFont="1" applyAlignment="1">
      <alignment horizontal="center"/>
    </xf>
    <xf numFmtId="0" fontId="9" fillId="0" borderId="5" xfId="0" applyFont="1" applyBorder="1"/>
    <xf numFmtId="0" fontId="9" fillId="0" borderId="0" xfId="0" applyFont="1"/>
    <xf numFmtId="0" fontId="6" fillId="0" borderId="0" xfId="0" applyFont="1" applyAlignment="1">
      <alignment horizontal="left"/>
    </xf>
    <xf numFmtId="0" fontId="6" fillId="0" borderId="0" xfId="0" applyFont="1" applyAlignment="1">
      <alignment horizontal="left" wrapText="1"/>
    </xf>
    <xf numFmtId="0" fontId="0" fillId="0" borderId="5" xfId="0" applyBorder="1"/>
    <xf numFmtId="0" fontId="0" fillId="0" borderId="6" xfId="0" applyBorder="1"/>
    <xf numFmtId="0" fontId="0" fillId="0" borderId="8" xfId="0" applyBorder="1"/>
    <xf numFmtId="0" fontId="11" fillId="0" borderId="0" xfId="0" applyFont="1" applyAlignment="1">
      <alignment horizontal="right"/>
    </xf>
    <xf numFmtId="0" fontId="11" fillId="0" borderId="1" xfId="0" applyFont="1" applyBorder="1"/>
    <xf numFmtId="0" fontId="1" fillId="0" borderId="0" xfId="0" applyFont="1"/>
    <xf numFmtId="0" fontId="0" fillId="0" borderId="0" xfId="0" applyFill="1"/>
    <xf numFmtId="0" fontId="5" fillId="0" borderId="4" xfId="0" applyFont="1" applyBorder="1" applyAlignment="1">
      <alignment horizontal="left" vertical="center"/>
    </xf>
    <xf numFmtId="0" fontId="6" fillId="0" borderId="11" xfId="0" applyFont="1" applyBorder="1" applyAlignment="1">
      <alignment vertical="center"/>
    </xf>
    <xf numFmtId="0" fontId="5" fillId="0" borderId="8" xfId="0" applyFont="1" applyFill="1" applyBorder="1" applyAlignment="1">
      <alignment horizontal="center"/>
    </xf>
    <xf numFmtId="49" fontId="5" fillId="0" borderId="0" xfId="0" applyNumberFormat="1" applyFont="1" applyFill="1" applyAlignment="1">
      <alignment horizontal="center" vertical="center"/>
    </xf>
    <xf numFmtId="0" fontId="5" fillId="0" borderId="15" xfId="0" applyFont="1" applyFill="1" applyBorder="1" applyAlignment="1">
      <alignment horizontal="center" vertical="center"/>
    </xf>
    <xf numFmtId="0" fontId="5" fillId="0" borderId="14" xfId="0" applyFont="1" applyFill="1" applyBorder="1"/>
    <xf numFmtId="0" fontId="5" fillId="0" borderId="0" xfId="0" applyFont="1" applyFill="1" applyAlignment="1">
      <alignment horizontal="center" vertical="center"/>
    </xf>
    <xf numFmtId="0" fontId="5" fillId="0" borderId="15" xfId="0" applyFont="1" applyFill="1" applyBorder="1"/>
    <xf numFmtId="0" fontId="5" fillId="0" borderId="14" xfId="0" applyFont="1" applyFill="1" applyBorder="1" applyAlignment="1">
      <alignment horizontal="center" vertical="center"/>
    </xf>
    <xf numFmtId="0" fontId="5" fillId="0" borderId="1" xfId="0" applyFont="1" applyBorder="1" applyAlignment="1">
      <alignment vertical="center"/>
    </xf>
    <xf numFmtId="0" fontId="5" fillId="0" borderId="8" xfId="0" applyFont="1" applyBorder="1" applyAlignment="1">
      <alignment vertical="center"/>
    </xf>
    <xf numFmtId="0" fontId="5" fillId="0" borderId="11" xfId="0" applyFont="1" applyBorder="1" applyAlignment="1">
      <alignment horizontal="center" vertical="center"/>
    </xf>
    <xf numFmtId="0" fontId="5" fillId="0" borderId="0" xfId="0" applyFont="1" applyAlignment="1">
      <alignment horizontal="center"/>
    </xf>
    <xf numFmtId="0" fontId="5" fillId="0" borderId="1" xfId="0" applyFont="1" applyBorder="1" applyAlignment="1">
      <alignment horizontal="center"/>
    </xf>
    <xf numFmtId="0" fontId="5" fillId="0" borderId="8" xfId="0" applyFont="1" applyBorder="1" applyAlignment="1">
      <alignment horizontal="center"/>
    </xf>
    <xf numFmtId="0" fontId="5" fillId="0" borderId="3" xfId="0" applyFont="1" applyBorder="1" applyAlignment="1">
      <alignment horizontal="left" vertical="center"/>
    </xf>
    <xf numFmtId="0" fontId="11" fillId="0" borderId="0" xfId="0" applyFont="1" applyAlignment="1">
      <alignment horizontal="center"/>
    </xf>
    <xf numFmtId="0" fontId="6" fillId="0" borderId="8" xfId="0" applyFont="1" applyBorder="1" applyAlignment="1">
      <alignment horizontal="center"/>
    </xf>
    <xf numFmtId="0" fontId="6" fillId="0" borderId="3" xfId="0" applyFont="1" applyBorder="1" applyAlignment="1">
      <alignment horizontal="center" vertical="center"/>
    </xf>
    <xf numFmtId="0" fontId="6" fillId="0" borderId="1" xfId="0" applyFont="1" applyBorder="1" applyAlignment="1">
      <alignment horizontal="center" vertical="center"/>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5" fillId="0" borderId="14" xfId="0" applyFont="1" applyFill="1" applyBorder="1" applyAlignment="1">
      <alignment horizontal="left" vertical="center" wrapText="1"/>
    </xf>
    <xf numFmtId="43" fontId="5" fillId="0" borderId="15" xfId="0" applyNumberFormat="1" applyFont="1" applyFill="1" applyBorder="1" applyAlignment="1">
      <alignment horizontal="center" vertical="center"/>
    </xf>
    <xf numFmtId="0" fontId="5" fillId="0" borderId="14" xfId="0" applyFont="1" applyFill="1" applyBorder="1" applyAlignment="1">
      <alignment horizontal="center"/>
    </xf>
    <xf numFmtId="0" fontId="5" fillId="0" borderId="11" xfId="0" applyFont="1" applyBorder="1" applyAlignment="1">
      <alignment vertical="center"/>
    </xf>
    <xf numFmtId="0" fontId="14" fillId="0" borderId="9" xfId="0" applyFont="1" applyFill="1" applyBorder="1" applyAlignment="1">
      <alignment horizontal="center" vertical="center"/>
    </xf>
    <xf numFmtId="0" fontId="20" fillId="0" borderId="0" xfId="0" applyFont="1" applyFill="1"/>
    <xf numFmtId="0" fontId="14" fillId="0" borderId="6" xfId="0" applyFont="1" applyFill="1" applyBorder="1"/>
    <xf numFmtId="0" fontId="3" fillId="0" borderId="0" xfId="0" applyFont="1" applyAlignment="1">
      <alignment horizontal="center"/>
    </xf>
    <xf numFmtId="0" fontId="4" fillId="0" borderId="0" xfId="0" applyFont="1" applyAlignment="1">
      <alignment horizontal="center"/>
    </xf>
    <xf numFmtId="0" fontId="5" fillId="0" borderId="6" xfId="0" applyFont="1" applyBorder="1" applyAlignment="1">
      <alignment horizontal="center"/>
    </xf>
    <xf numFmtId="0" fontId="4" fillId="0" borderId="13" xfId="0" applyFont="1" applyBorder="1" applyAlignment="1">
      <alignment horizontal="center"/>
    </xf>
    <xf numFmtId="0" fontId="0" fillId="0" borderId="0" xfId="0" applyAlignment="1">
      <alignment horizontal="center"/>
    </xf>
    <xf numFmtId="0" fontId="0" fillId="0" borderId="1" xfId="0" applyBorder="1" applyAlignment="1">
      <alignment horizontal="center"/>
    </xf>
    <xf numFmtId="0" fontId="21" fillId="0" borderId="12" xfId="0" applyFont="1" applyBorder="1"/>
    <xf numFmtId="0" fontId="14" fillId="0" borderId="10" xfId="0" applyFont="1" applyFill="1" applyBorder="1" applyAlignment="1">
      <alignment horizontal="center" vertical="center"/>
    </xf>
    <xf numFmtId="0" fontId="14" fillId="0" borderId="8" xfId="0" applyFont="1" applyFill="1" applyBorder="1"/>
    <xf numFmtId="0" fontId="14" fillId="0" borderId="1" xfId="0" applyFont="1" applyFill="1" applyBorder="1" applyAlignment="1">
      <alignment horizontal="left" vertical="center" wrapText="1"/>
    </xf>
    <xf numFmtId="49" fontId="5" fillId="0" borderId="9" xfId="0" applyNumberFormat="1" applyFont="1" applyFill="1" applyBorder="1" applyAlignment="1">
      <alignment horizontal="center" vertical="center" wrapText="1"/>
    </xf>
    <xf numFmtId="0" fontId="5" fillId="0" borderId="6" xfId="0" applyFont="1" applyFill="1" applyBorder="1"/>
    <xf numFmtId="49" fontId="5" fillId="0" borderId="0" xfId="0" applyNumberFormat="1" applyFont="1" applyFill="1" applyAlignment="1">
      <alignment horizontal="center" vertical="center" wrapText="1"/>
    </xf>
    <xf numFmtId="49" fontId="5" fillId="0" borderId="15" xfId="0" applyNumberFormat="1" applyFont="1" applyFill="1" applyBorder="1" applyAlignment="1">
      <alignment horizontal="center" vertical="center"/>
    </xf>
    <xf numFmtId="0" fontId="5" fillId="0" borderId="10" xfId="0" applyFont="1" applyFill="1" applyBorder="1" applyAlignment="1">
      <alignment horizontal="center" vertical="center"/>
    </xf>
    <xf numFmtId="49" fontId="5" fillId="0" borderId="10" xfId="0" applyNumberFormat="1" applyFont="1" applyFill="1" applyBorder="1" applyAlignment="1">
      <alignment horizontal="center" vertical="center"/>
    </xf>
    <xf numFmtId="0" fontId="5" fillId="0" borderId="9" xfId="0" applyFont="1" applyFill="1" applyBorder="1"/>
    <xf numFmtId="49" fontId="0" fillId="0" borderId="0" xfId="0" applyNumberFormat="1" applyFill="1"/>
    <xf numFmtId="0" fontId="5" fillId="0" borderId="11" xfId="0" applyFont="1" applyFill="1" applyBorder="1"/>
    <xf numFmtId="0" fontId="21" fillId="0" borderId="12" xfId="0" applyFont="1" applyFill="1" applyBorder="1" applyAlignment="1">
      <alignment vertical="center"/>
    </xf>
    <xf numFmtId="0" fontId="2" fillId="0" borderId="13" xfId="0" applyFont="1" applyFill="1" applyBorder="1" applyAlignment="1">
      <alignment wrapText="1"/>
    </xf>
    <xf numFmtId="0" fontId="6" fillId="0" borderId="13" xfId="0" applyFont="1" applyFill="1" applyBorder="1" applyAlignment="1">
      <alignment wrapText="1"/>
    </xf>
    <xf numFmtId="0" fontId="6" fillId="0" borderId="13" xfId="0" applyFont="1" applyFill="1" applyBorder="1"/>
    <xf numFmtId="0" fontId="6" fillId="0" borderId="14" xfId="0" applyFont="1" applyFill="1" applyBorder="1"/>
    <xf numFmtId="0" fontId="6" fillId="0" borderId="3" xfId="0" applyFont="1" applyFill="1" applyBorder="1"/>
    <xf numFmtId="0" fontId="5" fillId="0" borderId="9" xfId="0" applyFont="1" applyFill="1" applyBorder="1" applyAlignment="1">
      <alignment horizontal="center" vertical="center" wrapText="1"/>
    </xf>
    <xf numFmtId="0" fontId="5" fillId="0" borderId="15" xfId="0" applyFont="1" applyFill="1" applyBorder="1" applyAlignment="1">
      <alignment horizontal="center" vertical="center" wrapText="1"/>
    </xf>
    <xf numFmtId="0" fontId="4" fillId="0" borderId="13" xfId="0" applyFont="1" applyFill="1" applyBorder="1"/>
    <xf numFmtId="0" fontId="4" fillId="0" borderId="3" xfId="0" applyFont="1" applyFill="1" applyBorder="1"/>
    <xf numFmtId="0" fontId="4" fillId="0" borderId="3" xfId="0" applyFont="1" applyFill="1" applyBorder="1" applyAlignment="1">
      <alignment horizontal="center"/>
    </xf>
    <xf numFmtId="0" fontId="4" fillId="0" borderId="14" xfId="0" applyFont="1" applyFill="1" applyBorder="1"/>
    <xf numFmtId="43" fontId="5" fillId="0" borderId="9" xfId="0" applyNumberFormat="1" applyFont="1" applyFill="1" applyBorder="1" applyAlignment="1">
      <alignment horizontal="center" vertical="center" wrapText="1"/>
    </xf>
    <xf numFmtId="43" fontId="5" fillId="0" borderId="15" xfId="0" applyNumberFormat="1" applyFont="1" applyFill="1" applyBorder="1" applyAlignment="1">
      <alignment horizontal="center" vertical="center" wrapText="1"/>
    </xf>
    <xf numFmtId="0" fontId="5" fillId="0" borderId="9" xfId="0" applyFont="1" applyFill="1" applyBorder="1" applyAlignment="1">
      <alignment horizontal="center" vertical="center"/>
    </xf>
    <xf numFmtId="0" fontId="5" fillId="0" borderId="9" xfId="0" applyFont="1" applyFill="1" applyBorder="1" applyAlignment="1">
      <alignment horizontal="center"/>
    </xf>
    <xf numFmtId="0" fontId="5" fillId="0" borderId="1" xfId="0" applyFont="1" applyFill="1" applyBorder="1" applyAlignment="1">
      <alignment horizontal="left" vertical="center" wrapText="1"/>
    </xf>
    <xf numFmtId="0" fontId="5" fillId="0" borderId="8" xfId="0" applyFont="1" applyFill="1" applyBorder="1" applyAlignment="1">
      <alignment horizontal="left" vertical="center" wrapText="1"/>
    </xf>
    <xf numFmtId="0" fontId="5" fillId="0" borderId="11" xfId="0" applyFont="1" applyFill="1" applyBorder="1" applyAlignment="1">
      <alignment horizontal="center" vertical="center"/>
    </xf>
    <xf numFmtId="43" fontId="5" fillId="0" borderId="11" xfId="0" applyNumberFormat="1" applyFont="1" applyFill="1" applyBorder="1" applyAlignment="1">
      <alignment horizontal="center" vertical="center"/>
    </xf>
    <xf numFmtId="0" fontId="5" fillId="0" borderId="4" xfId="0" applyFont="1" applyFill="1" applyBorder="1"/>
    <xf numFmtId="0" fontId="5" fillId="0" borderId="15" xfId="0" applyFont="1" applyFill="1" applyBorder="1" applyAlignment="1">
      <alignment horizontal="center"/>
    </xf>
    <xf numFmtId="0" fontId="5" fillId="0" borderId="8" xfId="0" applyFont="1" applyFill="1" applyBorder="1"/>
    <xf numFmtId="0" fontId="21" fillId="0" borderId="12" xfId="0" applyFont="1" applyFill="1" applyBorder="1"/>
    <xf numFmtId="0" fontId="16" fillId="0" borderId="13" xfId="0" applyFont="1" applyFill="1" applyBorder="1" applyAlignment="1">
      <alignment wrapText="1"/>
    </xf>
    <xf numFmtId="0" fontId="17" fillId="0" borderId="13" xfId="0" applyFont="1" applyFill="1" applyBorder="1" applyAlignment="1">
      <alignment wrapText="1"/>
    </xf>
    <xf numFmtId="0" fontId="17" fillId="0" borderId="13" xfId="0" applyFont="1" applyFill="1" applyBorder="1"/>
    <xf numFmtId="0" fontId="17" fillId="0" borderId="14" xfId="0" applyFont="1" applyFill="1" applyBorder="1"/>
    <xf numFmtId="0" fontId="18" fillId="0" borderId="0" xfId="0" applyFont="1" applyFill="1"/>
    <xf numFmtId="0" fontId="5" fillId="0" borderId="11" xfId="0" applyFont="1" applyFill="1" applyBorder="1" applyAlignment="1">
      <alignment horizontal="center"/>
    </xf>
    <xf numFmtId="0" fontId="15" fillId="0" borderId="0" xfId="0" applyFont="1" applyFill="1"/>
    <xf numFmtId="0" fontId="5" fillId="0" borderId="1" xfId="0" applyFont="1" applyFill="1" applyBorder="1" applyAlignment="1">
      <alignment vertical="center"/>
    </xf>
    <xf numFmtId="0" fontId="5" fillId="0" borderId="8" xfId="0" applyFont="1" applyFill="1" applyBorder="1" applyAlignment="1">
      <alignment vertical="center"/>
    </xf>
    <xf numFmtId="0" fontId="5" fillId="0" borderId="7" xfId="0" applyFont="1" applyFill="1" applyBorder="1" applyAlignment="1">
      <alignment horizontal="center" vertical="center"/>
    </xf>
    <xf numFmtId="0" fontId="5" fillId="0" borderId="4" xfId="0" applyFont="1" applyFill="1" applyBorder="1" applyAlignment="1">
      <alignment horizontal="left" vertical="center"/>
    </xf>
    <xf numFmtId="49" fontId="5" fillId="0" borderId="9" xfId="0" applyNumberFormat="1" applyFont="1" applyFill="1" applyBorder="1" applyAlignment="1">
      <alignment horizontal="center" vertical="center"/>
    </xf>
    <xf numFmtId="0" fontId="5" fillId="0" borderId="8" xfId="0" applyFont="1" applyFill="1" applyBorder="1" applyAlignment="1">
      <alignment horizontal="left" vertical="center"/>
    </xf>
    <xf numFmtId="0" fontId="5" fillId="0" borderId="3" xfId="0" applyFont="1" applyFill="1" applyBorder="1" applyAlignment="1">
      <alignment horizontal="left" vertical="center"/>
    </xf>
    <xf numFmtId="0" fontId="6" fillId="0" borderId="7" xfId="0" applyFont="1" applyFill="1" applyBorder="1" applyAlignment="1">
      <alignment vertical="center"/>
    </xf>
    <xf numFmtId="0" fontId="5" fillId="0" borderId="5" xfId="0" applyFont="1" applyFill="1" applyBorder="1"/>
    <xf numFmtId="0" fontId="5" fillId="0" borderId="0" xfId="0" applyFont="1" applyFill="1"/>
    <xf numFmtId="0" fontId="5" fillId="0" borderId="3" xfId="0" applyFont="1" applyFill="1" applyBorder="1"/>
    <xf numFmtId="0" fontId="5" fillId="0" borderId="3" xfId="0" applyFont="1" applyFill="1" applyBorder="1" applyAlignment="1">
      <alignment horizontal="center"/>
    </xf>
    <xf numFmtId="0" fontId="5" fillId="0" borderId="7" xfId="0" applyFont="1" applyFill="1" applyBorder="1"/>
    <xf numFmtId="0" fontId="5" fillId="0" borderId="1" xfId="0" applyFont="1" applyFill="1" applyBorder="1"/>
    <xf numFmtId="0" fontId="5" fillId="0" borderId="1" xfId="0" applyFont="1" applyFill="1" applyBorder="1" applyAlignment="1">
      <alignment horizontal="center"/>
    </xf>
    <xf numFmtId="0" fontId="5" fillId="0" borderId="2" xfId="0" applyFont="1" applyFill="1" applyBorder="1"/>
    <xf numFmtId="0" fontId="7" fillId="0" borderId="0" xfId="0" applyFont="1" applyFill="1" applyAlignment="1">
      <alignment horizontal="center"/>
    </xf>
    <xf numFmtId="0" fontId="10" fillId="0" borderId="0" xfId="0" applyFont="1" applyFill="1" applyAlignment="1">
      <alignment horizontal="center"/>
    </xf>
    <xf numFmtId="0" fontId="6" fillId="0" borderId="0" xfId="0" applyFont="1" applyFill="1" applyAlignment="1">
      <alignment horizontal="left"/>
    </xf>
    <xf numFmtId="0" fontId="6" fillId="0" borderId="0" xfId="0" applyFont="1" applyFill="1"/>
    <xf numFmtId="0" fontId="5" fillId="0" borderId="0" xfId="0" applyFont="1" applyFill="1" applyAlignment="1">
      <alignment horizontal="center"/>
    </xf>
    <xf numFmtId="0" fontId="0" fillId="0" borderId="5" xfId="0" applyFill="1" applyBorder="1"/>
    <xf numFmtId="0" fontId="6" fillId="0" borderId="1" xfId="0" applyFont="1" applyFill="1" applyBorder="1"/>
    <xf numFmtId="0" fontId="9" fillId="0" borderId="5" xfId="0" applyFont="1" applyFill="1" applyBorder="1"/>
    <xf numFmtId="0" fontId="9" fillId="0" borderId="0" xfId="0" applyFont="1" applyFill="1"/>
    <xf numFmtId="0" fontId="6" fillId="0" borderId="0" xfId="0" applyFont="1" applyFill="1" applyAlignment="1">
      <alignment horizontal="left" wrapText="1"/>
    </xf>
    <xf numFmtId="43" fontId="5" fillId="0" borderId="9" xfId="0" applyNumberFormat="1" applyFont="1" applyFill="1" applyBorder="1" applyAlignment="1">
      <alignment horizontal="center" vertical="center"/>
    </xf>
    <xf numFmtId="0" fontId="5" fillId="0" borderId="8" xfId="0" applyFont="1" applyFill="1" applyBorder="1" applyAlignment="1">
      <alignment horizontal="center" vertical="center"/>
    </xf>
    <xf numFmtId="43" fontId="5" fillId="0" borderId="0" xfId="0" applyNumberFormat="1" applyFont="1" applyFill="1" applyBorder="1" applyAlignment="1">
      <alignment horizontal="center" vertical="center"/>
    </xf>
    <xf numFmtId="43" fontId="5" fillId="0" borderId="3" xfId="0" applyNumberFormat="1" applyFont="1" applyFill="1" applyBorder="1" applyAlignment="1">
      <alignment horizontal="center" vertical="center"/>
    </xf>
    <xf numFmtId="43" fontId="5" fillId="0" borderId="1" xfId="0" applyNumberFormat="1" applyFont="1" applyFill="1" applyBorder="1" applyAlignment="1">
      <alignment horizontal="center" vertical="center"/>
    </xf>
    <xf numFmtId="0" fontId="14" fillId="0" borderId="1" xfId="0" applyFont="1" applyFill="1" applyBorder="1" applyAlignment="1">
      <alignment horizontal="center" vertical="center"/>
    </xf>
    <xf numFmtId="0" fontId="14" fillId="0" borderId="9" xfId="0" applyFont="1" applyFill="1" applyBorder="1"/>
    <xf numFmtId="0" fontId="14" fillId="0" borderId="0" xfId="0" applyFont="1" applyFill="1" applyBorder="1" applyAlignment="1">
      <alignment horizontal="left" vertical="center" wrapText="1"/>
    </xf>
    <xf numFmtId="9" fontId="14" fillId="0" borderId="0" xfId="0" applyNumberFormat="1" applyFont="1" applyFill="1" applyBorder="1" applyAlignment="1">
      <alignment horizontal="left" vertical="center" wrapText="1"/>
    </xf>
    <xf numFmtId="0" fontId="14" fillId="0" borderId="0" xfId="0" applyFont="1" applyFill="1" applyBorder="1" applyAlignment="1">
      <alignment horizontal="center" vertical="center"/>
    </xf>
    <xf numFmtId="0" fontId="14" fillId="0" borderId="0" xfId="0" applyFont="1" applyFill="1" applyBorder="1"/>
    <xf numFmtId="0" fontId="14" fillId="0" borderId="3" xfId="0" applyFont="1" applyFill="1" applyBorder="1" applyAlignment="1">
      <alignment horizontal="left" vertical="center" wrapText="1"/>
    </xf>
    <xf numFmtId="9" fontId="14" fillId="0" borderId="3" xfId="0" applyNumberFormat="1" applyFont="1" applyFill="1" applyBorder="1" applyAlignment="1">
      <alignment horizontal="left" vertical="center" wrapText="1"/>
    </xf>
    <xf numFmtId="0" fontId="14" fillId="0" borderId="3" xfId="0" applyFont="1" applyFill="1" applyBorder="1" applyAlignment="1">
      <alignment horizontal="center" vertical="center"/>
    </xf>
    <xf numFmtId="0" fontId="14" fillId="0" borderId="3" xfId="0" applyFont="1" applyFill="1" applyBorder="1"/>
    <xf numFmtId="9" fontId="14" fillId="0" borderId="1" xfId="0" applyNumberFormat="1" applyFont="1" applyFill="1" applyBorder="1" applyAlignment="1">
      <alignment horizontal="left" vertical="center" wrapText="1"/>
    </xf>
    <xf numFmtId="0" fontId="14" fillId="0" borderId="1" xfId="0" applyFont="1" applyFill="1" applyBorder="1"/>
    <xf numFmtId="0" fontId="5" fillId="0" borderId="0" xfId="0" applyFont="1" applyBorder="1"/>
    <xf numFmtId="0" fontId="5" fillId="0" borderId="0" xfId="0" applyFont="1" applyBorder="1" applyAlignment="1">
      <alignment horizontal="center"/>
    </xf>
    <xf numFmtId="0" fontId="5" fillId="0" borderId="11" xfId="0" applyFont="1" applyBorder="1" applyAlignment="1">
      <alignment horizontal="center" vertical="center"/>
    </xf>
    <xf numFmtId="49" fontId="5" fillId="0" borderId="9" xfId="0" applyNumberFormat="1" applyFont="1" applyBorder="1" applyAlignment="1">
      <alignment horizontal="center" vertical="center"/>
    </xf>
    <xf numFmtId="49" fontId="5" fillId="0" borderId="11" xfId="0" applyNumberFormat="1" applyFont="1" applyBorder="1" applyAlignment="1">
      <alignment horizontal="center" vertical="center"/>
    </xf>
    <xf numFmtId="0" fontId="5" fillId="0" borderId="0" xfId="0" applyFont="1" applyAlignment="1">
      <alignment horizontal="center"/>
    </xf>
    <xf numFmtId="0" fontId="8" fillId="0" borderId="0" xfId="0" applyFont="1" applyAlignment="1">
      <alignment horizontal="center"/>
    </xf>
    <xf numFmtId="0" fontId="8" fillId="0" borderId="6" xfId="0" applyFont="1" applyBorder="1" applyAlignment="1">
      <alignment horizontal="center"/>
    </xf>
    <xf numFmtId="0" fontId="9" fillId="0" borderId="5" xfId="0" applyFont="1" applyBorder="1" applyAlignment="1">
      <alignment horizontal="center" vertical="top"/>
    </xf>
    <xf numFmtId="0" fontId="9" fillId="0" borderId="0" xfId="0" applyFont="1" applyAlignment="1">
      <alignment horizontal="center" vertical="top"/>
    </xf>
    <xf numFmtId="0" fontId="9" fillId="0" borderId="6" xfId="0" applyFont="1" applyBorder="1" applyAlignment="1">
      <alignment horizontal="center" vertical="top"/>
    </xf>
    <xf numFmtId="0" fontId="5" fillId="0" borderId="2" xfId="0" applyFont="1" applyBorder="1" applyAlignment="1">
      <alignment horizontal="left" vertical="center"/>
    </xf>
    <xf numFmtId="0" fontId="5" fillId="0" borderId="7" xfId="0" applyFont="1" applyBorder="1" applyAlignment="1">
      <alignment horizontal="left" vertical="center"/>
    </xf>
    <xf numFmtId="0" fontId="5" fillId="0" borderId="3" xfId="0" applyFont="1" applyBorder="1" applyAlignment="1">
      <alignment horizontal="left" vertical="center"/>
    </xf>
    <xf numFmtId="0" fontId="5" fillId="0" borderId="1" xfId="0" applyFont="1" applyBorder="1" applyAlignment="1">
      <alignment horizontal="left" vertical="center"/>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6" fillId="0" borderId="2" xfId="0" applyFont="1" applyBorder="1" applyAlignment="1">
      <alignment horizontal="center" vertical="center"/>
    </xf>
    <xf numFmtId="0" fontId="6" fillId="0" borderId="4" xfId="0" applyFont="1" applyBorder="1" applyAlignment="1">
      <alignment vertical="center"/>
    </xf>
    <xf numFmtId="0" fontId="6" fillId="0" borderId="5" xfId="0" applyFont="1" applyBorder="1" applyAlignment="1">
      <alignment horizontal="center" vertical="center"/>
    </xf>
    <xf numFmtId="0" fontId="6" fillId="0" borderId="6" xfId="0" applyFont="1" applyBorder="1" applyAlignment="1">
      <alignment vertical="center"/>
    </xf>
    <xf numFmtId="0" fontId="6" fillId="0" borderId="5" xfId="0" applyFont="1" applyBorder="1" applyAlignment="1">
      <alignment vertical="center"/>
    </xf>
    <xf numFmtId="0" fontId="6" fillId="0" borderId="7" xfId="0" applyFont="1" applyBorder="1" applyAlignment="1">
      <alignment vertical="center"/>
    </xf>
    <xf numFmtId="0" fontId="6" fillId="0" borderId="8" xfId="0" applyFont="1" applyBorder="1" applyAlignment="1">
      <alignment vertical="center"/>
    </xf>
    <xf numFmtId="0" fontId="8" fillId="0" borderId="5" xfId="0" applyFont="1" applyBorder="1" applyAlignment="1">
      <alignment horizontal="center"/>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0" xfId="0" applyFont="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1" xfId="0" applyFont="1" applyBorder="1" applyAlignment="1">
      <alignment horizontal="center" vertical="center" wrapText="1"/>
    </xf>
    <xf numFmtId="0" fontId="6" fillId="0" borderId="8" xfId="0" applyFont="1" applyBorder="1" applyAlignment="1">
      <alignment horizontal="center" vertical="center" wrapText="1"/>
    </xf>
    <xf numFmtId="0" fontId="5" fillId="0" borderId="2" xfId="0" applyFont="1" applyBorder="1" applyAlignment="1">
      <alignment horizontal="center" vertical="center"/>
    </xf>
    <xf numFmtId="0" fontId="5" fillId="0" borderId="4"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2" fillId="0" borderId="0" xfId="0" applyFont="1" applyAlignment="1">
      <alignment horizontal="center"/>
    </xf>
    <xf numFmtId="0" fontId="12" fillId="0" borderId="0" xfId="0" applyFont="1" applyAlignment="1">
      <alignment horizontal="center"/>
    </xf>
    <xf numFmtId="0" fontId="11" fillId="0" borderId="0" xfId="0" applyFont="1" applyAlignment="1">
      <alignment horizontal="center"/>
    </xf>
    <xf numFmtId="0" fontId="6" fillId="0" borderId="9" xfId="0" applyFont="1" applyBorder="1" applyAlignment="1">
      <alignment horizontal="center" vertical="center"/>
    </xf>
    <xf numFmtId="0" fontId="6" fillId="0" borderId="11" xfId="0" applyFont="1" applyBorder="1" applyAlignment="1">
      <alignment horizontal="center" vertical="center"/>
    </xf>
    <xf numFmtId="0" fontId="6" fillId="0" borderId="7" xfId="0" applyFont="1" applyBorder="1" applyAlignment="1">
      <alignment horizontal="center"/>
    </xf>
    <xf numFmtId="0" fontId="6" fillId="0" borderId="8" xfId="0" applyFont="1" applyBorder="1" applyAlignment="1">
      <alignment horizontal="center"/>
    </xf>
    <xf numFmtId="0" fontId="6" fillId="0" borderId="1" xfId="0" applyFont="1" applyBorder="1" applyAlignment="1">
      <alignment horizontal="center"/>
    </xf>
    <xf numFmtId="0" fontId="9" fillId="0" borderId="0" xfId="0" applyFont="1" applyAlignment="1">
      <alignment horizontal="center"/>
    </xf>
    <xf numFmtId="0" fontId="9" fillId="0" borderId="1" xfId="0" applyFont="1" applyBorder="1" applyAlignment="1">
      <alignment horizontal="center"/>
    </xf>
    <xf numFmtId="0" fontId="6" fillId="0" borderId="3" xfId="0" applyFont="1" applyBorder="1" applyAlignment="1">
      <alignment horizontal="center" vertical="center"/>
    </xf>
    <xf numFmtId="0" fontId="6" fillId="0" borderId="7" xfId="0" applyFont="1" applyBorder="1" applyAlignment="1">
      <alignment horizontal="center" vertical="center"/>
    </xf>
    <xf numFmtId="0" fontId="6" fillId="0" borderId="1" xfId="0" applyFont="1" applyBorder="1" applyAlignment="1">
      <alignment horizontal="center" vertical="center"/>
    </xf>
    <xf numFmtId="0" fontId="6" fillId="0" borderId="2" xfId="0" applyFont="1" applyBorder="1" applyAlignment="1">
      <alignment horizontal="center"/>
    </xf>
    <xf numFmtId="0" fontId="6" fillId="0" borderId="4" xfId="0" applyFont="1" applyBorder="1" applyAlignment="1">
      <alignment horizontal="center"/>
    </xf>
    <xf numFmtId="0" fontId="6" fillId="0" borderId="3" xfId="0" applyFont="1" applyBorder="1" applyAlignment="1">
      <alignment horizontal="center"/>
    </xf>
    <xf numFmtId="0" fontId="6" fillId="0" borderId="12" xfId="0" applyFont="1" applyBorder="1" applyAlignment="1">
      <alignment horizontal="center"/>
    </xf>
    <xf numFmtId="0" fontId="6" fillId="0" borderId="13" xfId="0" applyFont="1" applyBorder="1" applyAlignment="1">
      <alignment horizontal="center"/>
    </xf>
    <xf numFmtId="0" fontId="6" fillId="0" borderId="14" xfId="0" applyFont="1" applyBorder="1" applyAlignment="1">
      <alignment horizontal="center"/>
    </xf>
    <xf numFmtId="0" fontId="7" fillId="0" borderId="2" xfId="0" applyFont="1" applyFill="1" applyBorder="1" applyAlignment="1">
      <alignment horizontal="left" vertical="center" wrapText="1"/>
    </xf>
    <xf numFmtId="0" fontId="7" fillId="0" borderId="3" xfId="0" applyFont="1" applyFill="1" applyBorder="1" applyAlignment="1">
      <alignment horizontal="left" vertical="center" wrapText="1"/>
    </xf>
    <xf numFmtId="0" fontId="7" fillId="0" borderId="4" xfId="0" applyFont="1" applyFill="1" applyBorder="1" applyAlignment="1">
      <alignment horizontal="left" vertical="center" wrapText="1"/>
    </xf>
    <xf numFmtId="0" fontId="5" fillId="0" borderId="12" xfId="0" applyFont="1" applyFill="1" applyBorder="1" applyAlignment="1">
      <alignment horizontal="left" vertical="top" wrapText="1"/>
    </xf>
    <xf numFmtId="0" fontId="5" fillId="0" borderId="14" xfId="0" applyFont="1" applyFill="1" applyBorder="1" applyAlignment="1">
      <alignment horizontal="left" vertical="top" wrapText="1"/>
    </xf>
    <xf numFmtId="0" fontId="5" fillId="0" borderId="12" xfId="0" applyFont="1" applyFill="1" applyBorder="1" applyAlignment="1">
      <alignment horizontal="left" vertical="center" wrapText="1"/>
    </xf>
    <xf numFmtId="0" fontId="5" fillId="0" borderId="13" xfId="0" applyFont="1" applyFill="1" applyBorder="1" applyAlignment="1">
      <alignment horizontal="left" vertical="center" wrapText="1"/>
    </xf>
    <xf numFmtId="0" fontId="5" fillId="0" borderId="14" xfId="0" applyFont="1" applyFill="1" applyBorder="1" applyAlignment="1">
      <alignment horizontal="left" vertical="center" wrapText="1"/>
    </xf>
    <xf numFmtId="9" fontId="5" fillId="0" borderId="2" xfId="0" applyNumberFormat="1" applyFont="1" applyFill="1" applyBorder="1" applyAlignment="1">
      <alignment horizontal="left" vertical="top" wrapText="1"/>
    </xf>
    <xf numFmtId="0" fontId="5" fillId="0" borderId="4" xfId="0" applyFont="1" applyFill="1" applyBorder="1" applyAlignment="1">
      <alignment horizontal="left" vertical="top" wrapText="1"/>
    </xf>
    <xf numFmtId="0" fontId="5" fillId="0" borderId="2" xfId="0" applyFont="1" applyFill="1" applyBorder="1" applyAlignment="1">
      <alignment horizontal="left" vertical="top" wrapText="1"/>
    </xf>
    <xf numFmtId="0" fontId="5" fillId="0" borderId="3" xfId="0" applyFont="1" applyFill="1" applyBorder="1" applyAlignment="1">
      <alignment horizontal="left" vertical="top" wrapText="1"/>
    </xf>
    <xf numFmtId="0" fontId="7" fillId="0" borderId="12" xfId="0" applyFont="1" applyFill="1" applyBorder="1" applyAlignment="1">
      <alignment horizontal="left" vertical="center" wrapText="1"/>
    </xf>
    <xf numFmtId="0" fontId="7" fillId="0" borderId="13" xfId="0" applyFont="1" applyFill="1" applyBorder="1" applyAlignment="1">
      <alignment horizontal="left" vertical="center" wrapText="1"/>
    </xf>
    <xf numFmtId="0" fontId="7" fillId="0" borderId="14" xfId="0" applyFont="1" applyFill="1" applyBorder="1" applyAlignment="1">
      <alignment horizontal="left" vertical="center" wrapText="1"/>
    </xf>
    <xf numFmtId="15" fontId="5" fillId="0" borderId="12" xfId="0" applyNumberFormat="1" applyFont="1" applyFill="1" applyBorder="1" applyAlignment="1">
      <alignment horizontal="left" vertical="center" wrapText="1"/>
    </xf>
    <xf numFmtId="15" fontId="5" fillId="0" borderId="13" xfId="0" applyNumberFormat="1" applyFont="1" applyFill="1" applyBorder="1" applyAlignment="1">
      <alignment horizontal="left" vertical="center" wrapText="1"/>
    </xf>
    <xf numFmtId="15" fontId="5" fillId="0" borderId="14" xfId="0" applyNumberFormat="1" applyFont="1" applyFill="1" applyBorder="1" applyAlignment="1">
      <alignment horizontal="left" vertical="center" wrapText="1"/>
    </xf>
    <xf numFmtId="0" fontId="5" fillId="0" borderId="2" xfId="0" applyFont="1" applyFill="1" applyBorder="1" applyAlignment="1">
      <alignment horizontal="left" vertical="center" wrapText="1"/>
    </xf>
    <xf numFmtId="0" fontId="5" fillId="0" borderId="3" xfId="0" applyFont="1" applyFill="1" applyBorder="1" applyAlignment="1">
      <alignment horizontal="left" vertical="center" wrapText="1"/>
    </xf>
    <xf numFmtId="0" fontId="5" fillId="0" borderId="4" xfId="0" applyFont="1" applyFill="1" applyBorder="1" applyAlignment="1">
      <alignment horizontal="left" vertical="center" wrapText="1"/>
    </xf>
    <xf numFmtId="9" fontId="5" fillId="0" borderId="2" xfId="0" applyNumberFormat="1" applyFont="1" applyFill="1" applyBorder="1" applyAlignment="1">
      <alignment horizontal="left" vertical="center" wrapText="1"/>
    </xf>
    <xf numFmtId="0" fontId="5" fillId="0" borderId="15" xfId="0" applyFont="1" applyFill="1" applyBorder="1" applyAlignment="1">
      <alignment horizontal="left" vertical="center" wrapText="1"/>
    </xf>
    <xf numFmtId="0" fontId="7" fillId="0" borderId="7" xfId="0" applyFont="1" applyFill="1" applyBorder="1" applyAlignment="1">
      <alignment horizontal="left" vertical="center" wrapText="1"/>
    </xf>
    <xf numFmtId="0" fontId="7" fillId="0" borderId="1" xfId="0" applyFont="1" applyFill="1" applyBorder="1" applyAlignment="1">
      <alignment horizontal="left" vertical="center" wrapText="1"/>
    </xf>
    <xf numFmtId="0" fontId="7" fillId="0" borderId="8" xfId="0" applyFont="1" applyFill="1" applyBorder="1" applyAlignment="1">
      <alignment horizontal="left" vertical="center" wrapText="1"/>
    </xf>
    <xf numFmtId="0" fontId="5" fillId="0" borderId="11" xfId="0" applyFont="1" applyFill="1" applyBorder="1" applyAlignment="1">
      <alignment horizontal="left" vertical="center" wrapText="1"/>
    </xf>
    <xf numFmtId="9" fontId="5" fillId="0" borderId="12" xfId="0" applyNumberFormat="1" applyFont="1" applyFill="1" applyBorder="1" applyAlignment="1">
      <alignment horizontal="left" vertical="center" wrapText="1"/>
    </xf>
    <xf numFmtId="0" fontId="5" fillId="0" borderId="12" xfId="0" applyFont="1" applyFill="1" applyBorder="1" applyAlignment="1">
      <alignment vertical="center" wrapText="1"/>
    </xf>
    <xf numFmtId="0" fontId="5" fillId="0" borderId="13" xfId="0" applyFont="1" applyFill="1" applyBorder="1" applyAlignment="1">
      <alignment vertical="center" wrapText="1"/>
    </xf>
    <xf numFmtId="0" fontId="5" fillId="0" borderId="14" xfId="0" applyFont="1" applyFill="1" applyBorder="1" applyAlignment="1">
      <alignment vertical="center" wrapText="1"/>
    </xf>
    <xf numFmtId="0" fontId="5" fillId="0" borderId="0" xfId="0" applyFont="1" applyAlignment="1">
      <alignment horizontal="center" vertical="center" wrapText="1"/>
    </xf>
    <xf numFmtId="0" fontId="5" fillId="0" borderId="6"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5" xfId="0" applyFont="1" applyFill="1" applyBorder="1" applyAlignment="1">
      <alignment vertical="center" wrapText="1"/>
    </xf>
    <xf numFmtId="0" fontId="19" fillId="0" borderId="7" xfId="0" applyFont="1" applyFill="1" applyBorder="1" applyAlignment="1">
      <alignment horizontal="left" vertical="center" wrapText="1"/>
    </xf>
    <xf numFmtId="0" fontId="19" fillId="0" borderId="1" xfId="0" applyFont="1" applyFill="1" applyBorder="1" applyAlignment="1">
      <alignment horizontal="left" vertical="center" wrapText="1"/>
    </xf>
    <xf numFmtId="0" fontId="19" fillId="0" borderId="8" xfId="0" applyFont="1" applyFill="1" applyBorder="1" applyAlignment="1">
      <alignment horizontal="left" vertical="center" wrapText="1"/>
    </xf>
    <xf numFmtId="0" fontId="14" fillId="0" borderId="12" xfId="0" applyFont="1" applyFill="1" applyBorder="1" applyAlignment="1">
      <alignment horizontal="left" vertical="center" wrapText="1"/>
    </xf>
    <xf numFmtId="0" fontId="14" fillId="0" borderId="13" xfId="0" applyFont="1" applyFill="1" applyBorder="1" applyAlignment="1">
      <alignment horizontal="left" vertical="center" wrapText="1"/>
    </xf>
    <xf numFmtId="0" fontId="14" fillId="0" borderId="14" xfId="0" applyFont="1" applyFill="1" applyBorder="1" applyAlignment="1">
      <alignment horizontal="left" vertical="center" wrapText="1"/>
    </xf>
    <xf numFmtId="0" fontId="5" fillId="0" borderId="9" xfId="0" applyFont="1" applyFill="1" applyBorder="1" applyAlignment="1">
      <alignment horizontal="left" vertical="center" wrapText="1"/>
    </xf>
    <xf numFmtId="0" fontId="5" fillId="0" borderId="7" xfId="0" applyFont="1" applyFill="1" applyBorder="1" applyAlignment="1">
      <alignment horizontal="left" vertical="center" wrapText="1"/>
    </xf>
    <xf numFmtId="0" fontId="5" fillId="0" borderId="8" xfId="0" applyFont="1" applyFill="1" applyBorder="1" applyAlignment="1">
      <alignment horizontal="left" vertical="center" wrapText="1"/>
    </xf>
    <xf numFmtId="0" fontId="5" fillId="0" borderId="1" xfId="0" applyFont="1" applyFill="1" applyBorder="1" applyAlignment="1">
      <alignment horizontal="left" vertical="center" wrapText="1"/>
    </xf>
    <xf numFmtId="0" fontId="14" fillId="0" borderId="2" xfId="0" applyFont="1" applyFill="1" applyBorder="1" applyAlignment="1">
      <alignment horizontal="left" vertical="center" wrapText="1"/>
    </xf>
    <xf numFmtId="0" fontId="14" fillId="0" borderId="3" xfId="0" applyFont="1" applyFill="1" applyBorder="1" applyAlignment="1">
      <alignment horizontal="left" vertical="center" wrapText="1"/>
    </xf>
    <xf numFmtId="0" fontId="14" fillId="0" borderId="4" xfId="0" applyFont="1" applyFill="1" applyBorder="1" applyAlignment="1">
      <alignment horizontal="left" vertical="center" wrapText="1"/>
    </xf>
    <xf numFmtId="9" fontId="14" fillId="0" borderId="2" xfId="0" applyNumberFormat="1" applyFont="1" applyFill="1" applyBorder="1" applyAlignment="1">
      <alignment horizontal="left" vertical="center" wrapText="1"/>
    </xf>
    <xf numFmtId="0" fontId="5" fillId="0" borderId="2" xfId="0" applyFont="1" applyFill="1" applyBorder="1" applyAlignment="1">
      <alignment horizontal="left" vertical="center"/>
    </xf>
    <xf numFmtId="0" fontId="5" fillId="0" borderId="7" xfId="0" applyFont="1" applyFill="1" applyBorder="1" applyAlignment="1">
      <alignment horizontal="left" vertical="center"/>
    </xf>
    <xf numFmtId="0" fontId="5" fillId="0" borderId="2" xfId="0" applyFont="1" applyFill="1" applyBorder="1" applyAlignment="1">
      <alignment horizontal="center" vertical="center"/>
    </xf>
    <xf numFmtId="0" fontId="5" fillId="0" borderId="4" xfId="0" applyFont="1" applyFill="1" applyBorder="1" applyAlignment="1">
      <alignment horizontal="center" vertical="center"/>
    </xf>
    <xf numFmtId="0" fontId="5" fillId="0" borderId="7" xfId="0" applyFont="1" applyFill="1" applyBorder="1" applyAlignment="1">
      <alignment horizontal="center" vertical="center"/>
    </xf>
    <xf numFmtId="0" fontId="5" fillId="0" borderId="8" xfId="0" applyFont="1" applyFill="1" applyBorder="1" applyAlignment="1">
      <alignment horizontal="center" vertical="center"/>
    </xf>
    <xf numFmtId="49" fontId="5" fillId="0" borderId="9" xfId="0" applyNumberFormat="1" applyFont="1" applyFill="1" applyBorder="1" applyAlignment="1">
      <alignment horizontal="center" vertical="center"/>
    </xf>
    <xf numFmtId="49" fontId="5" fillId="0" borderId="11" xfId="0" applyNumberFormat="1" applyFont="1" applyFill="1" applyBorder="1" applyAlignment="1">
      <alignment horizontal="center" vertical="center"/>
    </xf>
    <xf numFmtId="0" fontId="8" fillId="0" borderId="5" xfId="0" applyFont="1" applyFill="1" applyBorder="1" applyAlignment="1">
      <alignment horizontal="center"/>
    </xf>
    <xf numFmtId="0" fontId="8" fillId="0" borderId="0" xfId="0" applyFont="1" applyFill="1" applyAlignment="1">
      <alignment horizontal="center"/>
    </xf>
    <xf numFmtId="0" fontId="9" fillId="0" borderId="5" xfId="0" applyFont="1" applyFill="1" applyBorder="1" applyAlignment="1">
      <alignment horizontal="center" vertical="center" wrapText="1"/>
    </xf>
    <xf numFmtId="0" fontId="9" fillId="0" borderId="0" xfId="0" applyFont="1" applyFill="1" applyAlignment="1">
      <alignment horizontal="center" vertical="center" wrapText="1"/>
    </xf>
    <xf numFmtId="0" fontId="5" fillId="0" borderId="0" xfId="0" applyFont="1" applyFill="1" applyAlignment="1">
      <alignment horizontal="center"/>
    </xf>
    <xf numFmtId="0" fontId="8" fillId="0" borderId="6" xfId="0" applyFont="1" applyFill="1" applyBorder="1" applyAlignment="1">
      <alignment horizontal="center"/>
    </xf>
    <xf numFmtId="0" fontId="5" fillId="0" borderId="1" xfId="0" applyFont="1" applyFill="1" applyBorder="1" applyAlignment="1">
      <alignment horizontal="center" vertical="center"/>
    </xf>
    <xf numFmtId="0" fontId="5" fillId="0" borderId="3" xfId="0" applyFont="1" applyFill="1" applyBorder="1" applyAlignment="1">
      <alignment horizontal="left" vertical="center"/>
    </xf>
    <xf numFmtId="0" fontId="5" fillId="0" borderId="1" xfId="0" applyFont="1" applyFill="1" applyBorder="1" applyAlignment="1">
      <alignment horizontal="left" vertical="center"/>
    </xf>
    <xf numFmtId="0" fontId="5" fillId="0" borderId="2"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5" fillId="0" borderId="8" xfId="0" applyFont="1" applyFill="1" applyBorder="1" applyAlignment="1">
      <alignment horizontal="center" vertical="center" wrapText="1"/>
    </xf>
    <xf numFmtId="0" fontId="6" fillId="0" borderId="2" xfId="0" applyFont="1" applyFill="1" applyBorder="1" applyAlignment="1">
      <alignment horizontal="center" vertical="center"/>
    </xf>
    <xf numFmtId="0" fontId="6" fillId="0" borderId="4" xfId="0" applyFont="1" applyFill="1" applyBorder="1" applyAlignment="1">
      <alignment vertical="center"/>
    </xf>
    <xf numFmtId="0" fontId="6" fillId="0" borderId="5" xfId="0" applyFont="1" applyFill="1" applyBorder="1" applyAlignment="1">
      <alignment horizontal="center" vertical="center"/>
    </xf>
    <xf numFmtId="0" fontId="6" fillId="0" borderId="6" xfId="0" applyFont="1" applyFill="1" applyBorder="1" applyAlignment="1">
      <alignment vertical="center"/>
    </xf>
    <xf numFmtId="0" fontId="6" fillId="0" borderId="5" xfId="0" applyFont="1" applyFill="1" applyBorder="1" applyAlignment="1">
      <alignment vertical="center"/>
    </xf>
    <xf numFmtId="0" fontId="6" fillId="0" borderId="7" xfId="0" applyFont="1" applyFill="1" applyBorder="1" applyAlignment="1">
      <alignment vertical="center"/>
    </xf>
    <xf numFmtId="0" fontId="6" fillId="0" borderId="8" xfId="0" applyFont="1" applyFill="1" applyBorder="1" applyAlignment="1">
      <alignment vertical="center"/>
    </xf>
    <xf numFmtId="0" fontId="5" fillId="0" borderId="9" xfId="0" applyFont="1" applyFill="1" applyBorder="1" applyAlignment="1">
      <alignment horizontal="center" vertical="center"/>
    </xf>
    <xf numFmtId="0" fontId="5" fillId="0" borderId="11" xfId="0" applyFont="1" applyFill="1" applyBorder="1" applyAlignment="1">
      <alignment horizontal="center" vertical="center"/>
    </xf>
    <xf numFmtId="43" fontId="5" fillId="0" borderId="9" xfId="0" applyNumberFormat="1" applyFont="1" applyFill="1" applyBorder="1" applyAlignment="1">
      <alignment horizontal="center" vertical="center"/>
    </xf>
    <xf numFmtId="43" fontId="5" fillId="0" borderId="11" xfId="0" applyNumberFormat="1" applyFont="1" applyFill="1" applyBorder="1" applyAlignment="1">
      <alignment horizontal="center" vertical="center"/>
    </xf>
    <xf numFmtId="0" fontId="5" fillId="0" borderId="9" xfId="0" applyFont="1" applyFill="1" applyBorder="1" applyAlignment="1">
      <alignment horizontal="center"/>
    </xf>
    <xf numFmtId="0" fontId="5" fillId="0" borderId="11" xfId="0" applyFont="1" applyFill="1" applyBorder="1" applyAlignment="1">
      <alignment horizontal="center"/>
    </xf>
    <xf numFmtId="0" fontId="14" fillId="0" borderId="7" xfId="0" applyFont="1" applyFill="1" applyBorder="1" applyAlignment="1">
      <alignment horizontal="left" vertical="top" wrapText="1"/>
    </xf>
    <xf numFmtId="0" fontId="14" fillId="0" borderId="8" xfId="0" applyFont="1" applyFill="1" applyBorder="1" applyAlignment="1">
      <alignment horizontal="left" vertical="top" wrapText="1"/>
    </xf>
    <xf numFmtId="0" fontId="14" fillId="0" borderId="7" xfId="0" applyFont="1" applyFill="1" applyBorder="1" applyAlignment="1">
      <alignment horizontal="left" vertical="center" wrapText="1"/>
    </xf>
    <xf numFmtId="0" fontId="14" fillId="0" borderId="1" xfId="0" applyFont="1" applyFill="1" applyBorder="1" applyAlignment="1">
      <alignment horizontal="left" vertical="center" wrapText="1"/>
    </xf>
    <xf numFmtId="0" fontId="14" fillId="0" borderId="8" xfId="0" applyFont="1" applyFill="1" applyBorder="1" applyAlignment="1">
      <alignment horizontal="left" vertical="center" wrapText="1"/>
    </xf>
    <xf numFmtId="0" fontId="9" fillId="0" borderId="6" xfId="0" applyFont="1" applyFill="1" applyBorder="1" applyAlignment="1">
      <alignment horizontal="center" vertical="center" wrapText="1"/>
    </xf>
    <xf numFmtId="0" fontId="9" fillId="0" borderId="5" xfId="0" applyFont="1" applyFill="1" applyBorder="1" applyAlignment="1">
      <alignment horizontal="center" vertical="top"/>
    </xf>
    <xf numFmtId="0" fontId="9" fillId="0" borderId="0" xfId="0" applyFont="1" applyFill="1" applyAlignment="1">
      <alignment horizontal="center" vertical="top"/>
    </xf>
    <xf numFmtId="0" fontId="9" fillId="0" borderId="6" xfId="0" applyFont="1" applyFill="1" applyBorder="1" applyAlignment="1">
      <alignment horizontal="center" vertical="top"/>
    </xf>
    <xf numFmtId="0" fontId="6"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5" xfId="0" applyFont="1" applyFill="1" applyBorder="1" applyAlignment="1">
      <alignment horizontal="center" vertical="center" wrapText="1"/>
    </xf>
    <xf numFmtId="0" fontId="6" fillId="0" borderId="0" xfId="0" applyFont="1" applyFill="1" applyAlignment="1">
      <alignment horizontal="center" vertical="center" wrapText="1"/>
    </xf>
    <xf numFmtId="0" fontId="6" fillId="0" borderId="6"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8"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0"/>
  <sheetViews>
    <sheetView topLeftCell="A10" zoomScaleNormal="100" zoomScalePageLayoutView="90" workbookViewId="0">
      <selection activeCell="N10" sqref="N10"/>
    </sheetView>
  </sheetViews>
  <sheetFormatPr defaultColWidth="9" defaultRowHeight="15"/>
  <cols>
    <col min="1" max="1" width="12.7109375" customWidth="1"/>
    <col min="2" max="2" width="23.85546875" customWidth="1"/>
    <col min="3" max="3" width="15.5703125" customWidth="1"/>
    <col min="5" max="5" width="52" customWidth="1"/>
    <col min="6" max="6" width="22.5703125" customWidth="1"/>
    <col min="7" max="7" width="9.140625" customWidth="1"/>
    <col min="8" max="8" width="33.7109375" customWidth="1"/>
    <col min="9" max="11" width="10.140625" customWidth="1"/>
    <col min="12" max="12" width="11.28515625" customWidth="1"/>
    <col min="13" max="13" width="24" customWidth="1"/>
  </cols>
  <sheetData>
    <row r="1" spans="1:15" ht="18">
      <c r="A1" s="201" t="s">
        <v>81</v>
      </c>
      <c r="B1" s="201"/>
      <c r="C1" s="201"/>
      <c r="D1" s="201"/>
      <c r="E1" s="201"/>
      <c r="F1" s="201"/>
      <c r="G1" s="201"/>
      <c r="H1" s="201"/>
      <c r="I1" s="201"/>
      <c r="J1" s="201"/>
      <c r="K1" s="201"/>
      <c r="L1" s="201"/>
      <c r="M1" s="201"/>
    </row>
    <row r="2" spans="1:15" ht="16.5">
      <c r="A2" s="3"/>
      <c r="B2" s="3"/>
      <c r="C2" s="3"/>
      <c r="D2" s="3"/>
      <c r="E2" s="3"/>
      <c r="F2" s="3"/>
      <c r="G2" s="3"/>
      <c r="H2" s="3"/>
      <c r="I2" s="3"/>
      <c r="J2" s="3"/>
      <c r="K2" s="3"/>
      <c r="L2" s="3"/>
      <c r="M2" s="3"/>
    </row>
    <row r="3" spans="1:15" ht="18">
      <c r="A3" s="203" t="s">
        <v>183</v>
      </c>
      <c r="B3" s="203"/>
      <c r="C3" s="203"/>
      <c r="D3" s="203"/>
      <c r="E3" s="203"/>
      <c r="F3" s="203"/>
      <c r="G3" s="203"/>
      <c r="H3" s="203"/>
      <c r="I3" s="203"/>
      <c r="J3" s="203"/>
      <c r="K3" s="203"/>
      <c r="L3" s="203"/>
      <c r="M3" s="203"/>
    </row>
    <row r="4" spans="1:15" ht="18">
      <c r="A4" s="203" t="s">
        <v>226</v>
      </c>
      <c r="B4" s="203"/>
      <c r="C4" s="203"/>
      <c r="D4" s="203"/>
      <c r="E4" s="203"/>
      <c r="F4" s="203"/>
      <c r="G4" s="203"/>
      <c r="H4" s="203"/>
      <c r="I4" s="203"/>
      <c r="J4" s="203"/>
      <c r="K4" s="203"/>
      <c r="L4" s="203"/>
      <c r="M4" s="203"/>
    </row>
    <row r="5" spans="1:15">
      <c r="A5" s="4"/>
      <c r="B5" s="4"/>
      <c r="C5" s="4"/>
      <c r="D5" s="4"/>
      <c r="E5" s="4"/>
      <c r="F5" s="4"/>
      <c r="G5" s="4"/>
      <c r="H5" s="4"/>
      <c r="I5" s="4"/>
      <c r="J5" s="4"/>
      <c r="K5" s="4"/>
      <c r="L5" s="4"/>
      <c r="M5" s="4"/>
    </row>
    <row r="6" spans="1:15">
      <c r="A6" s="4"/>
      <c r="B6" s="4"/>
      <c r="C6" s="4"/>
      <c r="D6" s="4"/>
      <c r="E6" s="4"/>
      <c r="F6" s="4"/>
      <c r="G6" s="4"/>
      <c r="H6" s="4"/>
      <c r="I6" s="4"/>
      <c r="J6" s="4"/>
      <c r="K6" s="4"/>
      <c r="L6" s="4"/>
      <c r="M6" s="4"/>
    </row>
    <row r="7" spans="1:15" ht="12" customHeight="1">
      <c r="A7" s="4"/>
      <c r="B7" s="4"/>
      <c r="C7" s="4"/>
      <c r="D7" s="4"/>
      <c r="E7" s="4"/>
      <c r="F7" s="4"/>
      <c r="G7" s="4"/>
      <c r="H7" s="4"/>
      <c r="I7" s="4"/>
      <c r="J7" s="4"/>
      <c r="K7" s="4"/>
      <c r="L7" s="4"/>
      <c r="M7" s="4"/>
    </row>
    <row r="8" spans="1:15" ht="18">
      <c r="A8" s="14"/>
      <c r="B8" s="14"/>
      <c r="C8" s="14"/>
      <c r="D8" s="14"/>
      <c r="E8" s="14"/>
      <c r="F8" s="14"/>
      <c r="G8" s="202" t="s">
        <v>99</v>
      </c>
      <c r="H8" s="202"/>
      <c r="I8" s="14"/>
      <c r="J8" s="14"/>
      <c r="K8" s="14"/>
      <c r="L8" s="14"/>
      <c r="M8" s="14"/>
    </row>
    <row r="9" spans="1:15" ht="18">
      <c r="A9" s="14"/>
      <c r="B9" s="14"/>
      <c r="C9" s="14"/>
      <c r="D9" s="14"/>
      <c r="E9" s="14"/>
      <c r="F9" s="14"/>
      <c r="G9" s="203" t="s">
        <v>20</v>
      </c>
      <c r="H9" s="203"/>
      <c r="I9" s="14"/>
      <c r="J9" s="14"/>
      <c r="K9" s="14"/>
      <c r="L9" s="14"/>
      <c r="M9" s="14"/>
    </row>
    <row r="10" spans="1:15" ht="18">
      <c r="A10" s="14"/>
      <c r="B10" s="14"/>
      <c r="C10" s="14"/>
      <c r="D10" s="14"/>
      <c r="E10" s="14"/>
      <c r="F10" s="14"/>
      <c r="G10" s="55"/>
      <c r="H10" s="55"/>
      <c r="I10" s="14"/>
      <c r="J10" s="14"/>
      <c r="K10" s="14"/>
      <c r="L10" s="14"/>
      <c r="M10" s="14"/>
    </row>
    <row r="11" spans="1:15" ht="18">
      <c r="A11" s="14"/>
      <c r="B11" s="14"/>
      <c r="C11" s="14"/>
      <c r="D11" s="14"/>
      <c r="E11" s="14"/>
      <c r="F11" s="14"/>
      <c r="G11" s="35" t="s">
        <v>21</v>
      </c>
      <c r="H11" s="36"/>
      <c r="I11" s="14"/>
      <c r="J11" s="14"/>
      <c r="K11" s="14"/>
      <c r="L11" s="14"/>
      <c r="M11" s="14"/>
    </row>
    <row r="12" spans="1:15" ht="15.75">
      <c r="A12" s="15"/>
      <c r="B12" s="15"/>
      <c r="C12" s="15"/>
      <c r="D12" s="15"/>
      <c r="E12" s="15"/>
      <c r="F12" s="15"/>
      <c r="G12" s="15"/>
      <c r="H12" s="15"/>
      <c r="I12" s="15"/>
      <c r="J12" s="15"/>
      <c r="K12" s="15"/>
      <c r="L12" s="15"/>
      <c r="M12" s="15"/>
    </row>
    <row r="13" spans="1:15" ht="15.75">
      <c r="A13" s="20" t="s">
        <v>18</v>
      </c>
      <c r="B13" s="21"/>
      <c r="C13" s="14"/>
      <c r="D13" s="7"/>
      <c r="E13" s="19" t="s">
        <v>1</v>
      </c>
      <c r="F13" s="14" t="s">
        <v>2</v>
      </c>
      <c r="G13" s="14"/>
      <c r="H13" s="14"/>
      <c r="I13" s="14"/>
      <c r="J13" s="14"/>
      <c r="K13" s="14"/>
      <c r="L13" s="7"/>
      <c r="M13" s="19" t="s">
        <v>1</v>
      </c>
    </row>
    <row r="14" spans="1:15" ht="15.75">
      <c r="A14" s="13"/>
      <c r="B14" s="161"/>
      <c r="C14" s="14"/>
      <c r="D14" s="8"/>
      <c r="E14" s="70"/>
      <c r="F14" s="14"/>
      <c r="G14" s="14"/>
      <c r="H14" s="14"/>
      <c r="I14" s="14"/>
      <c r="J14" s="14"/>
      <c r="K14" s="14"/>
      <c r="L14" s="8"/>
      <c r="M14" s="70"/>
    </row>
    <row r="15" spans="1:15" ht="15.75">
      <c r="A15" s="13"/>
      <c r="B15" s="14"/>
      <c r="C15" s="14"/>
      <c r="D15" s="8"/>
      <c r="E15" s="8"/>
      <c r="F15" s="14"/>
      <c r="G15" s="14"/>
      <c r="H15" s="14"/>
      <c r="I15" s="14"/>
      <c r="J15" s="14"/>
      <c r="K15" s="14"/>
      <c r="L15" s="8"/>
      <c r="M15" s="8"/>
      <c r="N15" s="37" t="s">
        <v>48</v>
      </c>
    </row>
    <row r="16" spans="1:15" ht="15.75">
      <c r="A16" s="13"/>
      <c r="B16" s="167" t="s">
        <v>46</v>
      </c>
      <c r="C16" s="167"/>
      <c r="D16" s="8"/>
      <c r="E16" s="8"/>
      <c r="F16" s="14"/>
      <c r="G16" s="167" t="s">
        <v>46</v>
      </c>
      <c r="H16" s="167"/>
      <c r="I16" s="167"/>
      <c r="J16" s="167"/>
      <c r="K16" s="167"/>
      <c r="L16" s="8"/>
      <c r="M16" s="8"/>
      <c r="O16" t="s">
        <v>48</v>
      </c>
    </row>
    <row r="17" spans="1:15" ht="15.75">
      <c r="A17" s="13"/>
      <c r="B17" s="209" t="s">
        <v>19</v>
      </c>
      <c r="C17" s="209"/>
      <c r="D17" s="8"/>
      <c r="E17" s="8"/>
      <c r="F17" s="14"/>
      <c r="G17" s="209" t="s">
        <v>19</v>
      </c>
      <c r="H17" s="209"/>
      <c r="I17" s="209"/>
      <c r="J17" s="209"/>
      <c r="K17" s="209"/>
      <c r="L17" s="8"/>
      <c r="M17" s="8"/>
    </row>
    <row r="18" spans="1:15" ht="15.75">
      <c r="A18" s="17"/>
      <c r="B18" s="210" t="s">
        <v>22</v>
      </c>
      <c r="C18" s="210"/>
      <c r="D18" s="9"/>
      <c r="E18" s="9"/>
      <c r="F18" s="15"/>
      <c r="G18" s="210" t="s">
        <v>23</v>
      </c>
      <c r="H18" s="210"/>
      <c r="I18" s="210"/>
      <c r="J18" s="210"/>
      <c r="K18" s="210"/>
      <c r="L18" s="9"/>
      <c r="M18" s="9"/>
    </row>
    <row r="19" spans="1:15" ht="15.75">
      <c r="A19" s="13"/>
      <c r="B19" s="14"/>
      <c r="C19" s="14"/>
      <c r="D19" s="14"/>
      <c r="E19" s="14"/>
      <c r="F19" s="14"/>
      <c r="G19" s="14"/>
      <c r="H19" s="15"/>
      <c r="I19" s="14"/>
      <c r="J19" s="14"/>
      <c r="K19" s="14"/>
      <c r="L19" s="14"/>
      <c r="M19" s="8"/>
    </row>
    <row r="20" spans="1:15" ht="15.75">
      <c r="A20" s="13"/>
      <c r="B20" s="14"/>
      <c r="C20" s="14"/>
      <c r="D20" s="14"/>
      <c r="E20" s="14"/>
      <c r="F20" s="14"/>
      <c r="G20" s="14" t="s">
        <v>3</v>
      </c>
      <c r="H20" s="12" t="s">
        <v>24</v>
      </c>
      <c r="I20" s="14"/>
      <c r="J20" s="14"/>
      <c r="K20" s="14"/>
      <c r="L20" s="14"/>
      <c r="M20" s="8"/>
    </row>
    <row r="21" spans="1:15" ht="15.75">
      <c r="A21" s="13"/>
      <c r="B21" s="14"/>
      <c r="C21" s="14"/>
      <c r="D21" s="14"/>
      <c r="E21" s="14"/>
      <c r="F21" s="14"/>
      <c r="G21" s="14" t="s">
        <v>4</v>
      </c>
      <c r="H21" s="11" t="s">
        <v>25</v>
      </c>
      <c r="I21" s="14"/>
      <c r="J21" s="14"/>
      <c r="K21" s="14"/>
      <c r="L21" s="14"/>
      <c r="M21" s="8"/>
    </row>
    <row r="22" spans="1:15" ht="15.75">
      <c r="A22" s="13"/>
      <c r="B22" s="14"/>
      <c r="C22" s="14"/>
      <c r="D22" s="14"/>
      <c r="E22" s="14"/>
      <c r="F22" s="14"/>
      <c r="G22" s="14"/>
      <c r="H22" s="11" t="s">
        <v>26</v>
      </c>
      <c r="I22" s="14"/>
      <c r="J22" s="14"/>
      <c r="K22" s="14"/>
      <c r="L22" s="14"/>
      <c r="M22" s="8"/>
    </row>
    <row r="23" spans="1:15" ht="15.75">
      <c r="A23" s="13"/>
      <c r="B23" s="14"/>
      <c r="C23" s="14"/>
      <c r="D23" s="14"/>
      <c r="E23" s="14"/>
      <c r="F23" s="14"/>
      <c r="G23" s="14"/>
      <c r="H23" s="11" t="s">
        <v>27</v>
      </c>
      <c r="I23" s="14"/>
      <c r="J23" s="14"/>
      <c r="K23" s="14"/>
      <c r="L23" s="14"/>
      <c r="M23" s="8"/>
    </row>
    <row r="24" spans="1:15" ht="15.75">
      <c r="A24" s="13"/>
      <c r="B24" s="14"/>
      <c r="C24" s="14"/>
      <c r="D24" s="14"/>
      <c r="E24" s="14"/>
      <c r="F24" s="14"/>
      <c r="G24" s="14"/>
      <c r="H24" s="10" t="s">
        <v>28</v>
      </c>
      <c r="I24" s="14"/>
      <c r="J24" s="14"/>
      <c r="K24" s="14"/>
      <c r="L24" s="14"/>
      <c r="M24" s="8"/>
    </row>
    <row r="25" spans="1:15" ht="15.75">
      <c r="A25" s="17"/>
      <c r="B25" s="15"/>
      <c r="C25" s="15"/>
      <c r="D25" s="15"/>
      <c r="E25" s="15"/>
      <c r="F25" s="15"/>
      <c r="G25" s="15"/>
      <c r="H25" s="15"/>
      <c r="I25" s="15"/>
      <c r="J25" s="15"/>
      <c r="K25" s="15"/>
      <c r="L25" s="15"/>
      <c r="M25" s="9"/>
    </row>
    <row r="26" spans="1:15" ht="15.75">
      <c r="A26" s="180" t="s">
        <v>5</v>
      </c>
      <c r="B26" s="211"/>
      <c r="C26" s="57"/>
      <c r="D26" s="214" t="s">
        <v>29</v>
      </c>
      <c r="E26" s="215"/>
      <c r="F26" s="214" t="s">
        <v>30</v>
      </c>
      <c r="G26" s="216"/>
      <c r="H26" s="215"/>
      <c r="I26" s="217" t="s">
        <v>31</v>
      </c>
      <c r="J26" s="218"/>
      <c r="K26" s="218"/>
      <c r="L26" s="219"/>
      <c r="M26" s="204" t="s">
        <v>6</v>
      </c>
    </row>
    <row r="27" spans="1:15" ht="15.75">
      <c r="A27" s="212"/>
      <c r="B27" s="213"/>
      <c r="C27" s="58"/>
      <c r="D27" s="206" t="s">
        <v>32</v>
      </c>
      <c r="E27" s="207"/>
      <c r="F27" s="206"/>
      <c r="G27" s="208"/>
      <c r="H27" s="207"/>
      <c r="I27" s="22" t="s">
        <v>7</v>
      </c>
      <c r="J27" s="22" t="s">
        <v>8</v>
      </c>
      <c r="K27" s="22" t="s">
        <v>9</v>
      </c>
      <c r="L27" s="56" t="s">
        <v>10</v>
      </c>
      <c r="M27" s="205"/>
    </row>
    <row r="28" spans="1:15" ht="20.25" customHeight="1">
      <c r="A28" s="74" t="s">
        <v>33</v>
      </c>
      <c r="B28" s="5"/>
      <c r="C28" s="5"/>
      <c r="D28" s="5"/>
      <c r="E28" s="5"/>
      <c r="F28" s="5"/>
      <c r="G28" s="5"/>
      <c r="H28" s="5"/>
      <c r="I28" s="5"/>
      <c r="J28" s="5"/>
      <c r="K28" s="5"/>
      <c r="L28" s="5"/>
      <c r="M28" s="6"/>
    </row>
    <row r="29" spans="1:15" s="38" customFormat="1" ht="21.6" customHeight="1">
      <c r="A29" s="220" t="s">
        <v>166</v>
      </c>
      <c r="B29" s="221"/>
      <c r="C29" s="222"/>
      <c r="D29" s="223"/>
      <c r="E29" s="224"/>
      <c r="F29" s="225"/>
      <c r="G29" s="226"/>
      <c r="H29" s="227"/>
      <c r="I29" s="101"/>
      <c r="J29" s="101"/>
      <c r="K29" s="101"/>
      <c r="L29" s="101"/>
      <c r="M29" s="46"/>
      <c r="O29" s="45"/>
    </row>
    <row r="30" spans="1:15" s="38" customFormat="1" ht="85.5" customHeight="1">
      <c r="A30" s="225" t="s">
        <v>172</v>
      </c>
      <c r="B30" s="226"/>
      <c r="C30" s="227"/>
      <c r="D30" s="225" t="s">
        <v>128</v>
      </c>
      <c r="E30" s="227"/>
      <c r="F30" s="225" t="s">
        <v>145</v>
      </c>
      <c r="G30" s="226"/>
      <c r="H30" s="227"/>
      <c r="I30" s="101">
        <v>4</v>
      </c>
      <c r="J30" s="101">
        <v>4</v>
      </c>
      <c r="K30" s="101">
        <v>5</v>
      </c>
      <c r="L30" s="78" t="s">
        <v>35</v>
      </c>
      <c r="M30" s="79"/>
      <c r="O30" s="80"/>
    </row>
    <row r="31" spans="1:15" s="38" customFormat="1" ht="19.149999999999999" customHeight="1">
      <c r="A31" s="232" t="s">
        <v>122</v>
      </c>
      <c r="B31" s="233"/>
      <c r="C31" s="234"/>
      <c r="D31" s="225"/>
      <c r="E31" s="227"/>
      <c r="F31" s="235"/>
      <c r="G31" s="236"/>
      <c r="H31" s="237"/>
      <c r="I31" s="43"/>
      <c r="J31" s="43"/>
      <c r="K31" s="43"/>
      <c r="L31" s="81"/>
      <c r="M31" s="46"/>
      <c r="O31" s="42"/>
    </row>
    <row r="32" spans="1:15" s="38" customFormat="1" ht="39" customHeight="1">
      <c r="A32" s="225" t="s">
        <v>182</v>
      </c>
      <c r="B32" s="226"/>
      <c r="C32" s="227"/>
      <c r="D32" s="228" t="s">
        <v>129</v>
      </c>
      <c r="E32" s="229"/>
      <c r="F32" s="230" t="s">
        <v>144</v>
      </c>
      <c r="G32" s="231"/>
      <c r="H32" s="229"/>
      <c r="I32" s="82">
        <v>5</v>
      </c>
      <c r="J32" s="82">
        <v>5</v>
      </c>
      <c r="K32" s="82">
        <v>5</v>
      </c>
      <c r="L32" s="83" t="s">
        <v>38</v>
      </c>
      <c r="M32" s="79"/>
      <c r="O32" s="42"/>
    </row>
    <row r="33" spans="1:16" s="38" customFormat="1" ht="21.6" customHeight="1">
      <c r="A33" s="232" t="s">
        <v>123</v>
      </c>
      <c r="B33" s="233"/>
      <c r="C33" s="234"/>
      <c r="D33" s="225"/>
      <c r="E33" s="227"/>
      <c r="F33" s="225"/>
      <c r="G33" s="226"/>
      <c r="H33" s="227"/>
      <c r="I33" s="43"/>
      <c r="J33" s="43"/>
      <c r="K33" s="43"/>
      <c r="L33" s="81"/>
      <c r="M33" s="44"/>
      <c r="O33" s="42"/>
    </row>
    <row r="34" spans="1:16" s="38" customFormat="1" ht="48" customHeight="1">
      <c r="A34" s="238" t="s">
        <v>167</v>
      </c>
      <c r="B34" s="239"/>
      <c r="C34" s="240"/>
      <c r="D34" s="241" t="s">
        <v>130</v>
      </c>
      <c r="E34" s="240"/>
      <c r="F34" s="242" t="s">
        <v>146</v>
      </c>
      <c r="G34" s="242"/>
      <c r="H34" s="242"/>
      <c r="I34" s="101">
        <v>5</v>
      </c>
      <c r="J34" s="101">
        <v>4</v>
      </c>
      <c r="K34" s="101">
        <v>4</v>
      </c>
      <c r="L34" s="122" t="s">
        <v>35</v>
      </c>
      <c r="M34" s="102"/>
      <c r="O34" s="42"/>
    </row>
    <row r="35" spans="1:16" s="38" customFormat="1" ht="46.5" customHeight="1">
      <c r="A35" s="225" t="s">
        <v>173</v>
      </c>
      <c r="B35" s="226"/>
      <c r="C35" s="227"/>
      <c r="D35" s="238" t="s">
        <v>131</v>
      </c>
      <c r="E35" s="240"/>
      <c r="F35" s="238" t="s">
        <v>147</v>
      </c>
      <c r="G35" s="239"/>
      <c r="H35" s="240"/>
      <c r="I35" s="43">
        <v>5</v>
      </c>
      <c r="J35" s="43">
        <v>5</v>
      </c>
      <c r="K35" s="43">
        <v>5</v>
      </c>
      <c r="L35" s="43">
        <v>5</v>
      </c>
      <c r="M35" s="44"/>
      <c r="O35" s="45"/>
    </row>
    <row r="36" spans="1:16" s="38" customFormat="1" ht="22.5" customHeight="1">
      <c r="A36" s="232" t="s">
        <v>132</v>
      </c>
      <c r="B36" s="233"/>
      <c r="C36" s="234"/>
      <c r="D36" s="225"/>
      <c r="E36" s="227"/>
      <c r="F36" s="225"/>
      <c r="G36" s="226"/>
      <c r="H36" s="227"/>
      <c r="I36" s="105"/>
      <c r="J36" s="105"/>
      <c r="K36" s="105"/>
      <c r="L36" s="105"/>
      <c r="M36" s="79"/>
      <c r="O36" s="45"/>
    </row>
    <row r="37" spans="1:16" s="38" customFormat="1" ht="62.25" customHeight="1">
      <c r="A37" s="225" t="s">
        <v>168</v>
      </c>
      <c r="B37" s="226"/>
      <c r="C37" s="227"/>
      <c r="D37" s="225" t="s">
        <v>133</v>
      </c>
      <c r="E37" s="227"/>
      <c r="F37" s="225" t="s">
        <v>148</v>
      </c>
      <c r="G37" s="226"/>
      <c r="H37" s="227"/>
      <c r="I37" s="43">
        <v>5</v>
      </c>
      <c r="J37" s="43">
        <v>4</v>
      </c>
      <c r="K37" s="43">
        <v>5</v>
      </c>
      <c r="L37" s="43">
        <v>4.67</v>
      </c>
      <c r="M37" s="46"/>
      <c r="O37" s="45"/>
    </row>
    <row r="38" spans="1:16" s="38" customFormat="1" ht="63" customHeight="1">
      <c r="A38" s="225" t="s">
        <v>169</v>
      </c>
      <c r="B38" s="226"/>
      <c r="C38" s="227"/>
      <c r="D38" s="225" t="s">
        <v>134</v>
      </c>
      <c r="E38" s="227"/>
      <c r="F38" s="242" t="s">
        <v>149</v>
      </c>
      <c r="G38" s="242"/>
      <c r="H38" s="242"/>
      <c r="I38" s="43">
        <v>4</v>
      </c>
      <c r="J38" s="43">
        <v>4</v>
      </c>
      <c r="K38" s="43">
        <v>4</v>
      </c>
      <c r="L38" s="43">
        <v>4</v>
      </c>
      <c r="M38" s="46"/>
      <c r="O38" s="45"/>
    </row>
    <row r="39" spans="1:16" s="38" customFormat="1" ht="45" customHeight="1">
      <c r="A39" s="242" t="s">
        <v>187</v>
      </c>
      <c r="B39" s="242"/>
      <c r="C39" s="242"/>
      <c r="D39" s="254" t="s">
        <v>179</v>
      </c>
      <c r="E39" s="254"/>
      <c r="F39" s="254" t="s">
        <v>180</v>
      </c>
      <c r="G39" s="254"/>
      <c r="H39" s="254"/>
      <c r="I39" s="43">
        <v>5</v>
      </c>
      <c r="J39" s="43">
        <v>5</v>
      </c>
      <c r="K39" s="43">
        <v>4</v>
      </c>
      <c r="L39" s="81" t="s">
        <v>34</v>
      </c>
      <c r="M39" s="46"/>
      <c r="N39" s="85">
        <f>L53+L54+L55+L56+L58+L59+L60+L39</f>
        <v>34.33</v>
      </c>
      <c r="O39" s="85">
        <f>N39/8</f>
        <v>4.2912499999999998</v>
      </c>
      <c r="P39" s="85">
        <f>O39*0.1</f>
        <v>0.42912499999999998</v>
      </c>
    </row>
    <row r="40" spans="1:16" s="38" customFormat="1" ht="21.6" customHeight="1">
      <c r="A40" s="232" t="s">
        <v>124</v>
      </c>
      <c r="B40" s="233"/>
      <c r="C40" s="234"/>
      <c r="D40" s="225"/>
      <c r="E40" s="227"/>
      <c r="F40" s="242"/>
      <c r="G40" s="242"/>
      <c r="H40" s="242"/>
      <c r="I40" s="43"/>
      <c r="J40" s="43"/>
      <c r="K40" s="43"/>
      <c r="L40" s="43"/>
      <c r="M40" s="46"/>
      <c r="O40" s="45"/>
    </row>
    <row r="41" spans="1:16" s="38" customFormat="1" ht="48.75" customHeight="1">
      <c r="A41" s="242" t="s">
        <v>174</v>
      </c>
      <c r="B41" s="242"/>
      <c r="C41" s="242"/>
      <c r="D41" s="242" t="s">
        <v>150</v>
      </c>
      <c r="E41" s="242"/>
      <c r="F41" s="242" t="s">
        <v>151</v>
      </c>
      <c r="G41" s="242"/>
      <c r="H41" s="242"/>
      <c r="I41" s="43">
        <v>5</v>
      </c>
      <c r="J41" s="43">
        <v>4</v>
      </c>
      <c r="K41" s="43">
        <v>4</v>
      </c>
      <c r="L41" s="43">
        <v>4.33</v>
      </c>
      <c r="M41" s="46"/>
      <c r="O41" s="45"/>
    </row>
    <row r="42" spans="1:16" s="38" customFormat="1" ht="19.899999999999999" customHeight="1">
      <c r="A42" s="232" t="s">
        <v>125</v>
      </c>
      <c r="B42" s="233"/>
      <c r="C42" s="234"/>
      <c r="D42" s="242"/>
      <c r="E42" s="242"/>
      <c r="F42" s="242"/>
      <c r="G42" s="242"/>
      <c r="H42" s="242"/>
      <c r="I42" s="43"/>
      <c r="J42" s="43"/>
      <c r="K42" s="43"/>
      <c r="L42" s="43"/>
      <c r="M42" s="46"/>
      <c r="O42" s="45"/>
    </row>
    <row r="43" spans="1:16" s="38" customFormat="1" ht="51" customHeight="1">
      <c r="A43" s="242" t="s">
        <v>170</v>
      </c>
      <c r="B43" s="242"/>
      <c r="C43" s="242"/>
      <c r="D43" s="242" t="s">
        <v>135</v>
      </c>
      <c r="E43" s="242"/>
      <c r="F43" s="242" t="s">
        <v>152</v>
      </c>
      <c r="G43" s="242"/>
      <c r="H43" s="242"/>
      <c r="I43" s="43">
        <v>5</v>
      </c>
      <c r="J43" s="43">
        <v>4</v>
      </c>
      <c r="K43" s="43">
        <v>4</v>
      </c>
      <c r="L43" s="43">
        <v>4.33</v>
      </c>
      <c r="M43" s="46"/>
      <c r="O43" s="45"/>
    </row>
    <row r="44" spans="1:16" s="38" customFormat="1" ht="47.25" customHeight="1">
      <c r="A44" s="242" t="s">
        <v>222</v>
      </c>
      <c r="B44" s="242"/>
      <c r="C44" s="242"/>
      <c r="D44" s="242" t="s">
        <v>136</v>
      </c>
      <c r="E44" s="242"/>
      <c r="F44" s="242" t="s">
        <v>153</v>
      </c>
      <c r="G44" s="242"/>
      <c r="H44" s="242"/>
      <c r="I44" s="43">
        <v>4</v>
      </c>
      <c r="J44" s="43">
        <v>4</v>
      </c>
      <c r="K44" s="43">
        <v>4</v>
      </c>
      <c r="L44" s="43">
        <v>4</v>
      </c>
      <c r="M44" s="46"/>
      <c r="N44" s="85"/>
      <c r="O44" s="45"/>
    </row>
    <row r="45" spans="1:16" s="38" customFormat="1" ht="19.899999999999999" customHeight="1">
      <c r="A45" s="243" t="s">
        <v>126</v>
      </c>
      <c r="B45" s="244"/>
      <c r="C45" s="245"/>
      <c r="D45" s="246"/>
      <c r="E45" s="246"/>
      <c r="F45" s="246"/>
      <c r="G45" s="246"/>
      <c r="H45" s="246"/>
      <c r="I45" s="105"/>
      <c r="J45" s="105"/>
      <c r="K45" s="105"/>
      <c r="L45" s="105"/>
      <c r="M45" s="86"/>
      <c r="O45" s="45"/>
    </row>
    <row r="46" spans="1:16" s="38" customFormat="1" ht="45.75" customHeight="1">
      <c r="A46" s="242" t="s">
        <v>175</v>
      </c>
      <c r="B46" s="242"/>
      <c r="C46" s="242"/>
      <c r="D46" s="242" t="s">
        <v>137</v>
      </c>
      <c r="E46" s="242"/>
      <c r="F46" s="242" t="s">
        <v>154</v>
      </c>
      <c r="G46" s="242"/>
      <c r="H46" s="242"/>
      <c r="I46" s="43">
        <v>5</v>
      </c>
      <c r="J46" s="43">
        <v>4</v>
      </c>
      <c r="K46" s="43">
        <v>4</v>
      </c>
      <c r="L46" s="43">
        <v>4.33</v>
      </c>
      <c r="M46" s="46"/>
    </row>
    <row r="47" spans="1:16" s="38" customFormat="1" ht="48.75" customHeight="1">
      <c r="A47" s="242" t="s">
        <v>176</v>
      </c>
      <c r="B47" s="242"/>
      <c r="C47" s="242"/>
      <c r="D47" s="242" t="s">
        <v>138</v>
      </c>
      <c r="E47" s="242"/>
      <c r="F47" s="242" t="s">
        <v>155</v>
      </c>
      <c r="G47" s="242"/>
      <c r="H47" s="242"/>
      <c r="I47" s="43">
        <v>5</v>
      </c>
      <c r="J47" s="43">
        <v>4</v>
      </c>
      <c r="K47" s="43">
        <v>4</v>
      </c>
      <c r="L47" s="43">
        <v>4.33</v>
      </c>
      <c r="M47" s="46"/>
    </row>
    <row r="48" spans="1:16" s="38" customFormat="1" ht="27.75" customHeight="1">
      <c r="A48" s="87" t="s">
        <v>37</v>
      </c>
      <c r="B48" s="88"/>
      <c r="C48" s="89"/>
      <c r="D48" s="89"/>
      <c r="E48" s="89"/>
      <c r="F48" s="89"/>
      <c r="G48" s="89"/>
      <c r="H48" s="89"/>
      <c r="I48" s="90"/>
      <c r="J48" s="90"/>
      <c r="K48" s="90"/>
      <c r="L48" s="90"/>
      <c r="M48" s="91"/>
    </row>
    <row r="49" spans="1:16" s="38" customFormat="1" ht="21.6" customHeight="1">
      <c r="A49" s="232" t="s">
        <v>127</v>
      </c>
      <c r="B49" s="233"/>
      <c r="C49" s="234"/>
      <c r="D49" s="242"/>
      <c r="E49" s="242"/>
      <c r="F49" s="242"/>
      <c r="G49" s="242"/>
      <c r="H49" s="242"/>
      <c r="I49" s="43"/>
      <c r="J49" s="43"/>
      <c r="K49" s="43"/>
      <c r="L49" s="43"/>
      <c r="M49" s="46"/>
    </row>
    <row r="50" spans="1:16" s="38" customFormat="1" ht="60.75" customHeight="1">
      <c r="A50" s="242" t="s">
        <v>177</v>
      </c>
      <c r="B50" s="242"/>
      <c r="C50" s="242"/>
      <c r="D50" s="242" t="s">
        <v>139</v>
      </c>
      <c r="E50" s="242"/>
      <c r="F50" s="242" t="s">
        <v>156</v>
      </c>
      <c r="G50" s="242"/>
      <c r="H50" s="242"/>
      <c r="I50" s="43">
        <v>5</v>
      </c>
      <c r="J50" s="43">
        <v>4</v>
      </c>
      <c r="K50" s="43">
        <v>4</v>
      </c>
      <c r="L50" s="43">
        <v>4.33</v>
      </c>
      <c r="M50" s="46"/>
    </row>
    <row r="51" spans="1:16" s="38" customFormat="1" ht="45.75" customHeight="1">
      <c r="A51" s="242" t="s">
        <v>178</v>
      </c>
      <c r="B51" s="242"/>
      <c r="C51" s="242"/>
      <c r="D51" s="242" t="s">
        <v>140</v>
      </c>
      <c r="E51" s="242"/>
      <c r="F51" s="242" t="s">
        <v>157</v>
      </c>
      <c r="G51" s="242"/>
      <c r="H51" s="242"/>
      <c r="I51" s="43">
        <v>4</v>
      </c>
      <c r="J51" s="43">
        <v>4</v>
      </c>
      <c r="K51" s="43">
        <v>4</v>
      </c>
      <c r="L51" s="43">
        <v>4</v>
      </c>
      <c r="M51" s="46"/>
      <c r="N51" s="85">
        <f>L30+L32+L34+L35+L37+L38+L41+L43+L44+L46+L47+L50+L51</f>
        <v>56.97999999999999</v>
      </c>
      <c r="O51" s="85">
        <f>N51/13</f>
        <v>4.3830769230769224</v>
      </c>
      <c r="P51" s="85">
        <f>O51*0.9</f>
        <v>3.9447692307692304</v>
      </c>
    </row>
    <row r="52" spans="1:16" s="38" customFormat="1" ht="27.75" customHeight="1">
      <c r="A52" s="232" t="s">
        <v>186</v>
      </c>
      <c r="B52" s="233"/>
      <c r="C52" s="234"/>
      <c r="D52" s="89"/>
      <c r="E52" s="89"/>
      <c r="F52" s="89"/>
      <c r="G52" s="89"/>
      <c r="H52" s="89"/>
      <c r="I52" s="92"/>
      <c r="J52" s="92"/>
      <c r="K52" s="92"/>
      <c r="L52" s="92"/>
      <c r="M52" s="91"/>
    </row>
    <row r="53" spans="1:16" s="38" customFormat="1" ht="47.25" customHeight="1">
      <c r="A53" s="225" t="s">
        <v>217</v>
      </c>
      <c r="B53" s="226"/>
      <c r="C53" s="227"/>
      <c r="D53" s="225" t="s">
        <v>141</v>
      </c>
      <c r="E53" s="227"/>
      <c r="F53" s="225" t="s">
        <v>158</v>
      </c>
      <c r="G53" s="226"/>
      <c r="H53" s="227"/>
      <c r="I53" s="93">
        <v>4</v>
      </c>
      <c r="J53" s="101">
        <v>4</v>
      </c>
      <c r="K53" s="101">
        <v>4</v>
      </c>
      <c r="L53" s="78" t="s">
        <v>36</v>
      </c>
      <c r="M53" s="46"/>
    </row>
    <row r="54" spans="1:16" s="38" customFormat="1" ht="43.5" customHeight="1">
      <c r="A54" s="225" t="s">
        <v>218</v>
      </c>
      <c r="B54" s="226"/>
      <c r="C54" s="227"/>
      <c r="D54" s="225" t="s">
        <v>142</v>
      </c>
      <c r="E54" s="227"/>
      <c r="F54" s="225" t="s">
        <v>159</v>
      </c>
      <c r="G54" s="226"/>
      <c r="H54" s="227"/>
      <c r="I54" s="94">
        <v>4</v>
      </c>
      <c r="J54" s="43">
        <v>4</v>
      </c>
      <c r="K54" s="43">
        <v>4</v>
      </c>
      <c r="L54" s="94">
        <v>4</v>
      </c>
      <c r="M54" s="84"/>
    </row>
    <row r="55" spans="1:16" s="38" customFormat="1" ht="42" customHeight="1">
      <c r="A55" s="225" t="s">
        <v>207</v>
      </c>
      <c r="B55" s="226"/>
      <c r="C55" s="227"/>
      <c r="D55" s="225" t="s">
        <v>160</v>
      </c>
      <c r="E55" s="227"/>
      <c r="F55" s="247" t="s">
        <v>161</v>
      </c>
      <c r="G55" s="226"/>
      <c r="H55" s="227"/>
      <c r="I55" s="43">
        <v>5</v>
      </c>
      <c r="J55" s="43">
        <v>5</v>
      </c>
      <c r="K55" s="43">
        <v>4</v>
      </c>
      <c r="L55" s="81" t="s">
        <v>34</v>
      </c>
      <c r="M55" s="46"/>
    </row>
    <row r="56" spans="1:16" s="38" customFormat="1" ht="46.5" customHeight="1">
      <c r="A56" s="225" t="s">
        <v>204</v>
      </c>
      <c r="B56" s="226"/>
      <c r="C56" s="227"/>
      <c r="D56" s="225" t="s">
        <v>143</v>
      </c>
      <c r="E56" s="227"/>
      <c r="F56" s="225" t="s">
        <v>162</v>
      </c>
      <c r="G56" s="226"/>
      <c r="H56" s="227"/>
      <c r="I56" s="43">
        <v>5</v>
      </c>
      <c r="J56" s="43">
        <v>4</v>
      </c>
      <c r="K56" s="43">
        <v>4</v>
      </c>
      <c r="L56" s="81" t="s">
        <v>35</v>
      </c>
      <c r="M56" s="46"/>
    </row>
    <row r="57" spans="1:16" s="38" customFormat="1" ht="24" customHeight="1">
      <c r="A57" s="232" t="s">
        <v>123</v>
      </c>
      <c r="B57" s="233"/>
      <c r="C57" s="234"/>
      <c r="D57" s="59"/>
      <c r="E57" s="61"/>
      <c r="F57" s="59"/>
      <c r="G57" s="60"/>
      <c r="H57" s="61"/>
      <c r="I57" s="43"/>
      <c r="J57" s="43"/>
      <c r="K57" s="43"/>
      <c r="L57" s="81"/>
      <c r="M57" s="46"/>
    </row>
    <row r="58" spans="1:16" s="38" customFormat="1" ht="41.25" customHeight="1">
      <c r="A58" s="248" t="s">
        <v>208</v>
      </c>
      <c r="B58" s="249"/>
      <c r="C58" s="250"/>
      <c r="D58" s="248" t="s">
        <v>71</v>
      </c>
      <c r="E58" s="250"/>
      <c r="F58" s="248" t="s">
        <v>164</v>
      </c>
      <c r="G58" s="249"/>
      <c r="H58" s="250"/>
      <c r="I58" s="43">
        <v>4</v>
      </c>
      <c r="J58" s="43">
        <v>5</v>
      </c>
      <c r="K58" s="43">
        <v>4</v>
      </c>
      <c r="L58" s="81" t="s">
        <v>35</v>
      </c>
      <c r="M58" s="46"/>
    </row>
    <row r="59" spans="1:16" s="38" customFormat="1" ht="58.5" customHeight="1">
      <c r="A59" s="225" t="s">
        <v>209</v>
      </c>
      <c r="B59" s="226"/>
      <c r="C59" s="227"/>
      <c r="D59" s="225" t="s">
        <v>79</v>
      </c>
      <c r="E59" s="227"/>
      <c r="F59" s="225" t="s">
        <v>165</v>
      </c>
      <c r="G59" s="226"/>
      <c r="H59" s="227"/>
      <c r="I59" s="43">
        <v>5</v>
      </c>
      <c r="J59" s="43">
        <v>4</v>
      </c>
      <c r="K59" s="43">
        <v>4</v>
      </c>
      <c r="L59" s="81" t="s">
        <v>35</v>
      </c>
      <c r="M59" s="46"/>
    </row>
    <row r="60" spans="1:16" s="38" customFormat="1" ht="41.25" customHeight="1">
      <c r="A60" s="225" t="s">
        <v>210</v>
      </c>
      <c r="B60" s="226"/>
      <c r="C60" s="227"/>
      <c r="D60" s="225" t="s">
        <v>72</v>
      </c>
      <c r="E60" s="227"/>
      <c r="F60" s="225" t="s">
        <v>163</v>
      </c>
      <c r="G60" s="226"/>
      <c r="H60" s="227"/>
      <c r="I60" s="43">
        <v>4</v>
      </c>
      <c r="J60" s="43">
        <v>4</v>
      </c>
      <c r="K60" s="43">
        <v>4</v>
      </c>
      <c r="L60" s="81" t="s">
        <v>36</v>
      </c>
      <c r="M60" s="46"/>
    </row>
    <row r="61" spans="1:16" ht="23.25" customHeight="1">
      <c r="A61" s="40" t="s">
        <v>11</v>
      </c>
      <c r="B61" s="64"/>
      <c r="C61" s="64"/>
      <c r="D61" s="64"/>
      <c r="E61" s="64"/>
      <c r="F61" s="50" t="s">
        <v>12</v>
      </c>
      <c r="G61" s="163" t="s">
        <v>13</v>
      </c>
      <c r="H61" s="163"/>
      <c r="I61" s="163" t="s">
        <v>14</v>
      </c>
      <c r="J61" s="163"/>
      <c r="K61" s="163"/>
      <c r="L61" s="163"/>
      <c r="M61" s="163"/>
    </row>
    <row r="62" spans="1:16" ht="15.75">
      <c r="A62" s="172" t="s">
        <v>15</v>
      </c>
      <c r="B62" s="174"/>
      <c r="C62" s="39"/>
      <c r="D62" s="176" t="s">
        <v>39</v>
      </c>
      <c r="E62" s="177"/>
      <c r="F62" s="164" t="s">
        <v>219</v>
      </c>
      <c r="G62" s="180" t="s">
        <v>220</v>
      </c>
      <c r="H62" s="181"/>
      <c r="I62" s="188" t="s">
        <v>80</v>
      </c>
      <c r="J62" s="189"/>
      <c r="K62" s="189"/>
      <c r="L62" s="189"/>
      <c r="M62" s="190"/>
    </row>
    <row r="63" spans="1:16" ht="11.25" customHeight="1">
      <c r="A63" s="173"/>
      <c r="B63" s="175"/>
      <c r="C63" s="16"/>
      <c r="D63" s="178"/>
      <c r="E63" s="179"/>
      <c r="F63" s="165"/>
      <c r="G63" s="182"/>
      <c r="H63" s="183"/>
      <c r="I63" s="191"/>
      <c r="J63" s="192"/>
      <c r="K63" s="192"/>
      <c r="L63" s="192"/>
      <c r="M63" s="193"/>
    </row>
    <row r="64" spans="1:16" ht="15.75">
      <c r="A64" s="172" t="s">
        <v>16</v>
      </c>
      <c r="B64" s="54"/>
      <c r="C64" s="39"/>
      <c r="D64" s="197" t="s">
        <v>40</v>
      </c>
      <c r="E64" s="198"/>
      <c r="F64" s="164" t="s">
        <v>181</v>
      </c>
      <c r="G64" s="184"/>
      <c r="H64" s="183"/>
      <c r="I64" s="191"/>
      <c r="J64" s="192"/>
      <c r="K64" s="192"/>
      <c r="L64" s="192"/>
      <c r="M64" s="193"/>
    </row>
    <row r="65" spans="1:14" ht="15.75">
      <c r="A65" s="173"/>
      <c r="B65" s="48"/>
      <c r="C65" s="49"/>
      <c r="D65" s="199"/>
      <c r="E65" s="200"/>
      <c r="F65" s="165"/>
      <c r="G65" s="185"/>
      <c r="H65" s="186"/>
      <c r="I65" s="194"/>
      <c r="J65" s="195"/>
      <c r="K65" s="195"/>
      <c r="L65" s="195"/>
      <c r="M65" s="196"/>
    </row>
    <row r="66" spans="1:14" ht="15.75">
      <c r="A66" s="13" t="s">
        <v>17</v>
      </c>
      <c r="B66" s="14"/>
      <c r="C66" s="14"/>
      <c r="D66" s="14"/>
      <c r="E66" s="14"/>
      <c r="F66" s="14"/>
      <c r="G66" s="14"/>
      <c r="H66" s="14"/>
      <c r="I66" s="14"/>
      <c r="J66" s="21"/>
      <c r="K66" s="21"/>
      <c r="L66" s="21"/>
      <c r="M66" s="7"/>
    </row>
    <row r="67" spans="1:14" ht="14.25" customHeight="1">
      <c r="A67" s="13"/>
      <c r="B67" s="14"/>
      <c r="C67" s="14"/>
      <c r="D67" s="14"/>
      <c r="E67" s="14"/>
      <c r="F67" s="14"/>
      <c r="G67" s="14"/>
      <c r="H67" s="14"/>
      <c r="I67" s="14"/>
      <c r="J67" s="14"/>
      <c r="K67" s="14"/>
      <c r="L67" s="14"/>
      <c r="M67" s="8"/>
    </row>
    <row r="68" spans="1:14" ht="6.75" customHeight="1">
      <c r="A68" s="13"/>
      <c r="B68" s="14"/>
      <c r="C68" s="14"/>
      <c r="D68" s="14"/>
      <c r="E68" s="14"/>
      <c r="F68" s="14"/>
      <c r="G68" s="14"/>
      <c r="H68" s="14"/>
      <c r="I68" s="14"/>
      <c r="J68" s="14"/>
      <c r="K68" s="14"/>
      <c r="L68" s="14"/>
      <c r="M68" s="8"/>
    </row>
    <row r="69" spans="1:14" ht="12.75" customHeight="1">
      <c r="A69" s="17"/>
      <c r="B69" s="15"/>
      <c r="C69" s="15"/>
      <c r="D69" s="15"/>
      <c r="E69" s="15"/>
      <c r="F69" s="15"/>
      <c r="G69" s="15"/>
      <c r="H69" s="15"/>
      <c r="I69" s="15"/>
      <c r="J69" s="15"/>
      <c r="K69" s="15"/>
      <c r="L69" s="15"/>
      <c r="M69" s="9"/>
    </row>
    <row r="70" spans="1:14" ht="15.75">
      <c r="A70" s="20" t="s">
        <v>0</v>
      </c>
      <c r="B70" s="21"/>
      <c r="C70" s="25" t="s">
        <v>21</v>
      </c>
      <c r="D70" s="21"/>
      <c r="E70" s="21" t="s">
        <v>41</v>
      </c>
      <c r="F70" s="25" t="s">
        <v>21</v>
      </c>
      <c r="G70" s="21"/>
      <c r="H70" s="21"/>
      <c r="I70" s="21" t="s">
        <v>42</v>
      </c>
      <c r="J70" s="21"/>
      <c r="K70" s="21"/>
      <c r="L70" s="21"/>
      <c r="M70" s="7"/>
    </row>
    <row r="71" spans="1:14" ht="15.75">
      <c r="A71" s="13"/>
      <c r="B71" s="161"/>
      <c r="C71" s="162"/>
      <c r="D71" s="161"/>
      <c r="E71" s="161"/>
      <c r="F71" s="162"/>
      <c r="G71" s="161"/>
      <c r="H71" s="161"/>
      <c r="I71" s="161"/>
      <c r="J71" s="161"/>
      <c r="K71" s="161"/>
      <c r="L71" s="161"/>
      <c r="M71" s="8"/>
    </row>
    <row r="72" spans="1:14" ht="15.75">
      <c r="A72" s="13"/>
      <c r="B72" s="14"/>
      <c r="C72" s="14"/>
      <c r="D72" s="14"/>
      <c r="F72" s="27"/>
      <c r="G72" s="14"/>
      <c r="H72" s="14"/>
      <c r="I72" s="14"/>
      <c r="J72" s="14"/>
      <c r="K72" s="14"/>
      <c r="L72" s="14"/>
      <c r="M72" s="8"/>
    </row>
    <row r="73" spans="1:14" ht="17.25">
      <c r="A73" s="187" t="s">
        <v>99</v>
      </c>
      <c r="B73" s="167"/>
      <c r="C73" s="15"/>
      <c r="D73" s="14"/>
      <c r="E73" s="26" t="s">
        <v>76</v>
      </c>
      <c r="F73" s="27"/>
      <c r="G73" s="14"/>
      <c r="H73" s="14"/>
      <c r="I73" s="14"/>
      <c r="J73" s="14"/>
      <c r="K73" s="14"/>
      <c r="L73" s="14"/>
      <c r="M73" s="8"/>
    </row>
    <row r="74" spans="1:14" ht="15.75">
      <c r="A74" s="253" t="s">
        <v>98</v>
      </c>
      <c r="B74" s="251"/>
      <c r="D74" s="14"/>
      <c r="E74" s="30"/>
      <c r="F74" s="24"/>
      <c r="G74" s="166"/>
      <c r="H74" s="166"/>
      <c r="I74" s="14"/>
      <c r="J74" s="167" t="s">
        <v>46</v>
      </c>
      <c r="K74" s="167"/>
      <c r="L74" s="167"/>
      <c r="M74" s="168"/>
      <c r="N74" t="s">
        <v>75</v>
      </c>
    </row>
    <row r="75" spans="1:14" ht="30.75" customHeight="1">
      <c r="A75" s="32"/>
      <c r="C75" s="14"/>
      <c r="D75" s="14"/>
      <c r="E75" s="30" t="s">
        <v>85</v>
      </c>
      <c r="F75" s="18"/>
      <c r="G75" s="166"/>
      <c r="H75" s="166"/>
      <c r="I75" s="14"/>
      <c r="J75" s="251" t="s">
        <v>82</v>
      </c>
      <c r="K75" s="251"/>
      <c r="L75" s="251"/>
      <c r="M75" s="252"/>
    </row>
    <row r="76" spans="1:14" ht="30.75" customHeight="1">
      <c r="A76" s="169"/>
      <c r="B76" s="170"/>
      <c r="C76" s="14"/>
      <c r="D76" s="14"/>
      <c r="E76" s="30" t="s">
        <v>86</v>
      </c>
      <c r="F76" s="23"/>
      <c r="G76" s="166"/>
      <c r="H76" s="166"/>
      <c r="I76" s="14"/>
      <c r="J76" s="170"/>
      <c r="K76" s="170"/>
      <c r="L76" s="170"/>
      <c r="M76" s="171"/>
    </row>
    <row r="77" spans="1:14" ht="30.75" customHeight="1">
      <c r="A77" s="28"/>
      <c r="B77" s="29"/>
      <c r="C77" s="14"/>
      <c r="D77" s="14"/>
      <c r="E77" s="31" t="s">
        <v>87</v>
      </c>
      <c r="F77" s="23"/>
      <c r="G77" s="166"/>
      <c r="H77" s="166"/>
      <c r="I77" s="14"/>
      <c r="J77" s="14"/>
      <c r="K77" s="14"/>
      <c r="L77" s="14"/>
      <c r="M77" s="8"/>
    </row>
    <row r="78" spans="1:14" ht="30.75" customHeight="1">
      <c r="A78" s="13"/>
      <c r="B78" s="14"/>
      <c r="C78" s="14"/>
      <c r="D78" s="14"/>
      <c r="E78" s="31" t="s">
        <v>88</v>
      </c>
      <c r="F78" s="18"/>
      <c r="G78" s="166"/>
      <c r="H78" s="166"/>
      <c r="I78" s="14"/>
      <c r="J78" s="14"/>
      <c r="K78" s="14"/>
      <c r="L78" s="14"/>
      <c r="M78" s="8"/>
    </row>
    <row r="79" spans="1:14" ht="30.75" customHeight="1">
      <c r="A79" s="32"/>
      <c r="E79" s="31" t="s">
        <v>89</v>
      </c>
      <c r="F79" s="18"/>
      <c r="M79" s="33"/>
    </row>
    <row r="80" spans="1:14">
      <c r="A80" s="2"/>
      <c r="B80" s="1"/>
      <c r="C80" s="1"/>
      <c r="D80" s="1"/>
      <c r="E80" s="1"/>
      <c r="F80" s="1"/>
      <c r="G80" s="1"/>
      <c r="H80" s="1"/>
      <c r="I80" s="1"/>
      <c r="J80" s="1"/>
      <c r="K80" s="1"/>
      <c r="L80" s="1"/>
      <c r="M80" s="34"/>
    </row>
  </sheetData>
  <mergeCells count="129">
    <mergeCell ref="A1:M1"/>
    <mergeCell ref="A3:M3"/>
    <mergeCell ref="A4:M4"/>
    <mergeCell ref="G8:H8"/>
    <mergeCell ref="G9:H9"/>
    <mergeCell ref="B16:C16"/>
    <mergeCell ref="G16:K16"/>
    <mergeCell ref="M26:M27"/>
    <mergeCell ref="D27:E27"/>
    <mergeCell ref="F27:H27"/>
    <mergeCell ref="A29:C29"/>
    <mergeCell ref="D29:E29"/>
    <mergeCell ref="F29:H29"/>
    <mergeCell ref="B17:C17"/>
    <mergeCell ref="G17:K17"/>
    <mergeCell ref="B18:C18"/>
    <mergeCell ref="G18:K18"/>
    <mergeCell ref="A26:B27"/>
    <mergeCell ref="D26:E26"/>
    <mergeCell ref="F26:H26"/>
    <mergeCell ref="I26:L26"/>
    <mergeCell ref="A32:C32"/>
    <mergeCell ref="D32:E32"/>
    <mergeCell ref="F32:H32"/>
    <mergeCell ref="A33:C33"/>
    <mergeCell ref="D33:E33"/>
    <mergeCell ref="F33:H33"/>
    <mergeCell ref="A30:C30"/>
    <mergeCell ref="D30:E30"/>
    <mergeCell ref="F30:H30"/>
    <mergeCell ref="A31:C31"/>
    <mergeCell ref="D31:E31"/>
    <mergeCell ref="F31:H31"/>
    <mergeCell ref="A36:C36"/>
    <mergeCell ref="D36:E36"/>
    <mergeCell ref="F36:H36"/>
    <mergeCell ref="A37:C37"/>
    <mergeCell ref="D37:E37"/>
    <mergeCell ref="F37:H37"/>
    <mergeCell ref="A34:C34"/>
    <mergeCell ref="D34:E34"/>
    <mergeCell ref="F34:H34"/>
    <mergeCell ref="A35:C35"/>
    <mergeCell ref="D35:E35"/>
    <mergeCell ref="F35:H35"/>
    <mergeCell ref="A40:C40"/>
    <mergeCell ref="D40:E40"/>
    <mergeCell ref="F40:H40"/>
    <mergeCell ref="A41:C41"/>
    <mergeCell ref="D41:E41"/>
    <mergeCell ref="F41:H41"/>
    <mergeCell ref="A38:C38"/>
    <mergeCell ref="D38:E38"/>
    <mergeCell ref="F38:H38"/>
    <mergeCell ref="A39:C39"/>
    <mergeCell ref="D39:E39"/>
    <mergeCell ref="F39:H39"/>
    <mergeCell ref="A44:C44"/>
    <mergeCell ref="D44:E44"/>
    <mergeCell ref="F44:H44"/>
    <mergeCell ref="A45:C45"/>
    <mergeCell ref="D45:E45"/>
    <mergeCell ref="F45:H45"/>
    <mergeCell ref="A42:C42"/>
    <mergeCell ref="D42:E42"/>
    <mergeCell ref="F42:H42"/>
    <mergeCell ref="A43:C43"/>
    <mergeCell ref="D43:E43"/>
    <mergeCell ref="F43:H43"/>
    <mergeCell ref="A49:C49"/>
    <mergeCell ref="D49:E49"/>
    <mergeCell ref="F49:H49"/>
    <mergeCell ref="A50:C50"/>
    <mergeCell ref="D50:E50"/>
    <mergeCell ref="F50:H50"/>
    <mergeCell ref="A46:C46"/>
    <mergeCell ref="D46:E46"/>
    <mergeCell ref="F46:H46"/>
    <mergeCell ref="A47:C47"/>
    <mergeCell ref="D47:E47"/>
    <mergeCell ref="F47:H47"/>
    <mergeCell ref="A54:C54"/>
    <mergeCell ref="D54:E54"/>
    <mergeCell ref="F54:H54"/>
    <mergeCell ref="A55:C55"/>
    <mergeCell ref="D55:E55"/>
    <mergeCell ref="F55:H55"/>
    <mergeCell ref="A51:C51"/>
    <mergeCell ref="D51:E51"/>
    <mergeCell ref="F51:H51"/>
    <mergeCell ref="A52:C52"/>
    <mergeCell ref="A53:C53"/>
    <mergeCell ref="D53:E53"/>
    <mergeCell ref="F53:H53"/>
    <mergeCell ref="A59:C59"/>
    <mergeCell ref="D59:E59"/>
    <mergeCell ref="F59:H59"/>
    <mergeCell ref="A60:C60"/>
    <mergeCell ref="D60:E60"/>
    <mergeCell ref="F60:H60"/>
    <mergeCell ref="A56:C56"/>
    <mergeCell ref="D56:E56"/>
    <mergeCell ref="F56:H56"/>
    <mergeCell ref="A57:C57"/>
    <mergeCell ref="A58:C58"/>
    <mergeCell ref="D58:E58"/>
    <mergeCell ref="F58:H58"/>
    <mergeCell ref="G61:H61"/>
    <mergeCell ref="I61:M61"/>
    <mergeCell ref="A62:A63"/>
    <mergeCell ref="B62:B63"/>
    <mergeCell ref="D62:E63"/>
    <mergeCell ref="F62:F63"/>
    <mergeCell ref="G62:H65"/>
    <mergeCell ref="I62:M65"/>
    <mergeCell ref="A64:A65"/>
    <mergeCell ref="D64:E65"/>
    <mergeCell ref="A76:B76"/>
    <mergeCell ref="G76:H76"/>
    <mergeCell ref="J76:M76"/>
    <mergeCell ref="G77:H77"/>
    <mergeCell ref="G78:H78"/>
    <mergeCell ref="F64:F65"/>
    <mergeCell ref="A73:B73"/>
    <mergeCell ref="A74:B74"/>
    <mergeCell ref="G74:H74"/>
    <mergeCell ref="J74:M74"/>
    <mergeCell ref="G75:H75"/>
    <mergeCell ref="J75:M75"/>
  </mergeCells>
  <pageMargins left="0.25" right="0.25" top="0.46643518518518517" bottom="0.31145833333333334" header="0.3" footer="0.3"/>
  <pageSetup paperSize="14" scale="65" orientation="landscape"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11"/>
  <sheetViews>
    <sheetView tabSelected="1" view="pageLayout" topLeftCell="A10" zoomScaleNormal="100" workbookViewId="0">
      <selection activeCell="M2" sqref="M2"/>
    </sheetView>
  </sheetViews>
  <sheetFormatPr defaultColWidth="9" defaultRowHeight="15"/>
  <cols>
    <col min="1" max="1" width="12.7109375" customWidth="1"/>
    <col min="2" max="2" width="23.85546875" customWidth="1"/>
    <col min="3" max="3" width="14.42578125" customWidth="1"/>
    <col min="5" max="5" width="51.140625" customWidth="1"/>
    <col min="6" max="6" width="15.5703125" customWidth="1"/>
    <col min="7" max="7" width="9.140625" customWidth="1"/>
    <col min="8" max="8" width="35" customWidth="1"/>
    <col min="9" max="11" width="7" customWidth="1"/>
    <col min="12" max="12" width="9.7109375" style="72" customWidth="1"/>
    <col min="13" max="13" width="24.7109375" customWidth="1"/>
  </cols>
  <sheetData>
    <row r="1" spans="1:13" ht="18">
      <c r="A1" s="201" t="s">
        <v>47</v>
      </c>
      <c r="B1" s="201"/>
      <c r="C1" s="201"/>
      <c r="D1" s="201"/>
      <c r="E1" s="201"/>
      <c r="F1" s="201"/>
      <c r="G1" s="201"/>
      <c r="H1" s="201"/>
      <c r="I1" s="201"/>
      <c r="J1" s="201"/>
      <c r="K1" s="201"/>
      <c r="L1" s="201"/>
      <c r="M1" s="201"/>
    </row>
    <row r="2" spans="1:13" ht="16.5">
      <c r="A2" s="3"/>
      <c r="B2" s="3"/>
      <c r="C2" s="3"/>
      <c r="D2" s="3"/>
      <c r="E2" s="3"/>
      <c r="F2" s="3"/>
      <c r="G2" s="3"/>
      <c r="H2" s="3"/>
      <c r="I2" s="3"/>
      <c r="J2" s="3"/>
      <c r="K2" s="3"/>
      <c r="L2" s="68"/>
      <c r="M2" s="3"/>
    </row>
    <row r="3" spans="1:13" ht="18">
      <c r="A3" s="203" t="s">
        <v>100</v>
      </c>
      <c r="B3" s="203"/>
      <c r="C3" s="203"/>
      <c r="D3" s="203"/>
      <c r="E3" s="203"/>
      <c r="F3" s="203"/>
      <c r="G3" s="203"/>
      <c r="H3" s="203"/>
      <c r="I3" s="203"/>
      <c r="J3" s="203"/>
      <c r="K3" s="203"/>
      <c r="L3" s="203"/>
      <c r="M3" s="203"/>
    </row>
    <row r="4" spans="1:13" ht="18">
      <c r="A4" s="203" t="s">
        <v>227</v>
      </c>
      <c r="B4" s="203"/>
      <c r="C4" s="203"/>
      <c r="D4" s="203"/>
      <c r="E4" s="203"/>
      <c r="F4" s="203"/>
      <c r="G4" s="203"/>
      <c r="H4" s="203"/>
      <c r="I4" s="203"/>
      <c r="J4" s="203"/>
      <c r="K4" s="203"/>
      <c r="L4" s="203"/>
      <c r="M4" s="203"/>
    </row>
    <row r="5" spans="1:13">
      <c r="A5" s="4"/>
      <c r="B5" s="4"/>
      <c r="C5" s="4"/>
      <c r="D5" s="4"/>
      <c r="E5" s="4"/>
      <c r="F5" s="4"/>
      <c r="G5" s="4"/>
      <c r="H5" s="4"/>
      <c r="I5" s="4"/>
      <c r="J5" s="4"/>
      <c r="K5" s="4"/>
      <c r="L5" s="69"/>
      <c r="M5" s="4"/>
    </row>
    <row r="6" spans="1:13">
      <c r="A6" s="4"/>
      <c r="B6" s="4"/>
      <c r="C6" s="4"/>
      <c r="D6" s="4"/>
      <c r="E6" s="4"/>
      <c r="F6" s="4"/>
      <c r="G6" s="4"/>
      <c r="H6" s="4"/>
      <c r="I6" s="4"/>
      <c r="J6" s="4"/>
      <c r="K6" s="4"/>
      <c r="L6" s="69"/>
      <c r="M6" s="4"/>
    </row>
    <row r="7" spans="1:13">
      <c r="A7" s="4"/>
      <c r="B7" s="4"/>
      <c r="C7" s="4"/>
      <c r="D7" s="4"/>
      <c r="E7" s="4"/>
      <c r="F7" s="4"/>
      <c r="G7" s="4"/>
      <c r="H7" s="4"/>
      <c r="I7" s="4"/>
      <c r="J7" s="4"/>
      <c r="K7" s="4"/>
      <c r="L7" s="69"/>
      <c r="M7" s="4"/>
    </row>
    <row r="8" spans="1:13" ht="18">
      <c r="A8" s="202" t="s">
        <v>99</v>
      </c>
      <c r="B8" s="202"/>
      <c r="C8" s="202"/>
      <c r="D8" s="202"/>
      <c r="E8" s="202"/>
      <c r="F8" s="202"/>
      <c r="G8" s="202"/>
      <c r="H8" s="202"/>
      <c r="I8" s="202"/>
      <c r="J8" s="202"/>
      <c r="K8" s="202"/>
      <c r="L8" s="202"/>
      <c r="M8" s="202"/>
    </row>
    <row r="9" spans="1:13" ht="18">
      <c r="A9" s="203" t="s">
        <v>20</v>
      </c>
      <c r="B9" s="203"/>
      <c r="C9" s="203"/>
      <c r="D9" s="203"/>
      <c r="E9" s="203"/>
      <c r="F9" s="203"/>
      <c r="G9" s="203"/>
      <c r="H9" s="203"/>
      <c r="I9" s="203"/>
      <c r="J9" s="203"/>
      <c r="K9" s="203"/>
      <c r="L9" s="203"/>
      <c r="M9" s="203"/>
    </row>
    <row r="10" spans="1:13" ht="18">
      <c r="A10" s="14"/>
      <c r="B10" s="14"/>
      <c r="C10" s="14"/>
      <c r="D10" s="14"/>
      <c r="E10" s="14"/>
      <c r="F10" s="14"/>
      <c r="G10" s="203"/>
      <c r="H10" s="203"/>
      <c r="I10" s="14"/>
      <c r="J10" s="14"/>
      <c r="K10" s="14"/>
      <c r="L10" s="51"/>
      <c r="M10" s="14"/>
    </row>
    <row r="11" spans="1:13" ht="18">
      <c r="A11" s="203" t="s">
        <v>121</v>
      </c>
      <c r="B11" s="203"/>
      <c r="C11" s="203"/>
      <c r="D11" s="203"/>
      <c r="E11" s="203"/>
      <c r="F11" s="203"/>
      <c r="G11" s="203"/>
      <c r="H11" s="203"/>
      <c r="I11" s="203"/>
      <c r="J11" s="203"/>
      <c r="K11" s="203"/>
      <c r="L11" s="203"/>
      <c r="M11" s="203"/>
    </row>
    <row r="12" spans="1:13" ht="15.75">
      <c r="A12" s="15"/>
      <c r="B12" s="15"/>
      <c r="C12" s="15"/>
      <c r="D12" s="15"/>
      <c r="E12" s="15"/>
      <c r="F12" s="15"/>
      <c r="G12" s="15"/>
      <c r="H12" s="15"/>
      <c r="I12" s="15"/>
      <c r="J12" s="15"/>
      <c r="K12" s="15"/>
      <c r="L12" s="52"/>
      <c r="M12" s="15"/>
    </row>
    <row r="13" spans="1:13" ht="15.75">
      <c r="A13" s="20" t="s">
        <v>18</v>
      </c>
      <c r="B13" s="21"/>
      <c r="C13" s="14"/>
      <c r="D13" s="7"/>
      <c r="E13" s="19" t="s">
        <v>1</v>
      </c>
      <c r="F13" s="14" t="s">
        <v>2</v>
      </c>
      <c r="G13" s="14"/>
      <c r="H13" s="14"/>
      <c r="I13" s="14"/>
      <c r="J13" s="14"/>
      <c r="K13" s="14"/>
      <c r="L13" s="19"/>
      <c r="M13" s="19" t="s">
        <v>1</v>
      </c>
    </row>
    <row r="14" spans="1:13" ht="15.75">
      <c r="A14" s="13"/>
      <c r="B14" s="14"/>
      <c r="C14" s="14"/>
      <c r="D14" s="8"/>
      <c r="E14" s="8"/>
      <c r="F14" s="14"/>
      <c r="G14" s="14"/>
      <c r="H14" s="14"/>
      <c r="I14" s="14"/>
      <c r="J14" s="14"/>
      <c r="K14" s="14"/>
      <c r="L14" s="70"/>
      <c r="M14" s="8"/>
    </row>
    <row r="15" spans="1:13" ht="15.75">
      <c r="A15" s="13"/>
      <c r="B15" s="167" t="s">
        <v>46</v>
      </c>
      <c r="C15" s="167"/>
      <c r="D15" s="8"/>
      <c r="E15" s="8"/>
      <c r="F15" s="14"/>
      <c r="G15" s="167" t="s">
        <v>46</v>
      </c>
      <c r="H15" s="167"/>
      <c r="I15" s="167"/>
      <c r="J15" s="167"/>
      <c r="K15" s="167"/>
      <c r="L15" s="70"/>
      <c r="M15" s="8"/>
    </row>
    <row r="16" spans="1:13" ht="15.75">
      <c r="A16" s="13"/>
      <c r="B16" s="209" t="s">
        <v>19</v>
      </c>
      <c r="C16" s="209"/>
      <c r="D16" s="8"/>
      <c r="E16" s="8"/>
      <c r="F16" s="14"/>
      <c r="G16" s="209" t="s">
        <v>19</v>
      </c>
      <c r="H16" s="209"/>
      <c r="I16" s="209"/>
      <c r="J16" s="209"/>
      <c r="K16" s="209"/>
      <c r="L16" s="70"/>
      <c r="M16" s="8"/>
    </row>
    <row r="17" spans="1:13" ht="15.75">
      <c r="A17" s="17"/>
      <c r="B17" s="210" t="s">
        <v>22</v>
      </c>
      <c r="C17" s="210"/>
      <c r="D17" s="9"/>
      <c r="E17" s="9"/>
      <c r="F17" s="15"/>
      <c r="G17" s="210" t="s">
        <v>23</v>
      </c>
      <c r="H17" s="210"/>
      <c r="I17" s="210"/>
      <c r="J17" s="210"/>
      <c r="K17" s="210"/>
      <c r="L17" s="53"/>
      <c r="M17" s="9"/>
    </row>
    <row r="18" spans="1:13" ht="15.75">
      <c r="A18" s="13"/>
      <c r="B18" s="14"/>
      <c r="C18" s="14"/>
      <c r="D18" s="14"/>
      <c r="E18" s="14"/>
      <c r="F18" s="14"/>
      <c r="G18" s="14"/>
      <c r="H18" s="15"/>
      <c r="I18" s="14"/>
      <c r="J18" s="14"/>
      <c r="K18" s="14"/>
      <c r="L18" s="51"/>
      <c r="M18" s="8"/>
    </row>
    <row r="19" spans="1:13" ht="15.75">
      <c r="A19" s="13"/>
      <c r="B19" s="14"/>
      <c r="C19" s="14"/>
      <c r="D19" s="14"/>
      <c r="E19" s="14"/>
      <c r="F19" s="14"/>
      <c r="G19" s="14" t="s">
        <v>3</v>
      </c>
      <c r="H19" s="12" t="s">
        <v>24</v>
      </c>
      <c r="I19" s="14"/>
      <c r="J19" s="14"/>
      <c r="K19" s="14"/>
      <c r="L19" s="51"/>
      <c r="M19" s="8"/>
    </row>
    <row r="20" spans="1:13" ht="15.75">
      <c r="A20" s="13"/>
      <c r="B20" s="14"/>
      <c r="C20" s="14"/>
      <c r="D20" s="14"/>
      <c r="E20" s="14"/>
      <c r="F20" s="14"/>
      <c r="G20" s="14" t="s">
        <v>4</v>
      </c>
      <c r="H20" s="11" t="s">
        <v>25</v>
      </c>
      <c r="I20" s="14"/>
      <c r="J20" s="14"/>
      <c r="K20" s="14"/>
      <c r="L20" s="51"/>
      <c r="M20" s="8"/>
    </row>
    <row r="21" spans="1:13" ht="15.75">
      <c r="A21" s="13"/>
      <c r="B21" s="14"/>
      <c r="C21" s="14"/>
      <c r="D21" s="14"/>
      <c r="E21" s="14"/>
      <c r="F21" s="14"/>
      <c r="G21" s="14"/>
      <c r="H21" s="11" t="s">
        <v>26</v>
      </c>
      <c r="I21" s="14"/>
      <c r="J21" s="14"/>
      <c r="K21" s="14"/>
      <c r="L21" s="51"/>
      <c r="M21" s="8"/>
    </row>
    <row r="22" spans="1:13" ht="15.75">
      <c r="A22" s="13"/>
      <c r="B22" s="14"/>
      <c r="C22" s="14"/>
      <c r="D22" s="14"/>
      <c r="E22" s="14"/>
      <c r="F22" s="14"/>
      <c r="G22" s="14"/>
      <c r="H22" s="11" t="s">
        <v>27</v>
      </c>
      <c r="I22" s="14"/>
      <c r="J22" s="14"/>
      <c r="K22" s="14"/>
      <c r="L22" s="51"/>
      <c r="M22" s="8"/>
    </row>
    <row r="23" spans="1:13" ht="15.75">
      <c r="A23" s="13"/>
      <c r="B23" s="14"/>
      <c r="C23" s="14"/>
      <c r="D23" s="14"/>
      <c r="E23" s="14"/>
      <c r="F23" s="14"/>
      <c r="G23" s="14"/>
      <c r="H23" s="10" t="s">
        <v>28</v>
      </c>
      <c r="I23" s="14"/>
      <c r="J23" s="14"/>
      <c r="K23" s="14"/>
      <c r="L23" s="51"/>
      <c r="M23" s="8"/>
    </row>
    <row r="24" spans="1:13" ht="15.75">
      <c r="A24" s="17"/>
      <c r="B24" s="15"/>
      <c r="C24" s="15"/>
      <c r="D24" s="15"/>
      <c r="E24" s="15"/>
      <c r="F24" s="15"/>
      <c r="G24" s="15"/>
      <c r="H24" s="15"/>
      <c r="I24" s="15"/>
      <c r="J24" s="15"/>
      <c r="K24" s="15"/>
      <c r="L24" s="52"/>
      <c r="M24" s="9"/>
    </row>
    <row r="25" spans="1:13" ht="15.75">
      <c r="A25" s="180" t="s">
        <v>5</v>
      </c>
      <c r="B25" s="211"/>
      <c r="C25" s="57"/>
      <c r="D25" s="214" t="s">
        <v>29</v>
      </c>
      <c r="E25" s="215"/>
      <c r="F25" s="214" t="s">
        <v>30</v>
      </c>
      <c r="G25" s="216"/>
      <c r="H25" s="215"/>
      <c r="I25" s="217" t="s">
        <v>31</v>
      </c>
      <c r="J25" s="218"/>
      <c r="K25" s="218"/>
      <c r="L25" s="219"/>
      <c r="M25" s="204" t="s">
        <v>6</v>
      </c>
    </row>
    <row r="26" spans="1:13" ht="15.75">
      <c r="A26" s="212"/>
      <c r="B26" s="213"/>
      <c r="C26" s="58"/>
      <c r="D26" s="206" t="s">
        <v>32</v>
      </c>
      <c r="E26" s="207"/>
      <c r="F26" s="206"/>
      <c r="G26" s="208"/>
      <c r="H26" s="207"/>
      <c r="I26" s="22" t="s">
        <v>7</v>
      </c>
      <c r="J26" s="22" t="s">
        <v>8</v>
      </c>
      <c r="K26" s="22" t="s">
        <v>9</v>
      </c>
      <c r="L26" s="56" t="s">
        <v>10</v>
      </c>
      <c r="M26" s="205"/>
    </row>
    <row r="27" spans="1:13" ht="18">
      <c r="A27" s="74" t="s">
        <v>33</v>
      </c>
      <c r="B27" s="5"/>
      <c r="C27" s="5"/>
      <c r="D27" s="5"/>
      <c r="E27" s="5"/>
      <c r="F27" s="5"/>
      <c r="G27" s="5"/>
      <c r="H27" s="5"/>
      <c r="I27" s="5"/>
      <c r="J27" s="5"/>
      <c r="K27" s="5"/>
      <c r="L27" s="71"/>
      <c r="M27" s="6"/>
    </row>
    <row r="28" spans="1:13" s="66" customFormat="1" ht="21.75" customHeight="1">
      <c r="A28" s="255" t="s">
        <v>166</v>
      </c>
      <c r="B28" s="256"/>
      <c r="C28" s="257"/>
      <c r="D28" s="303"/>
      <c r="E28" s="304"/>
      <c r="F28" s="305"/>
      <c r="G28" s="306"/>
      <c r="H28" s="307"/>
      <c r="I28" s="75"/>
      <c r="J28" s="75"/>
      <c r="K28" s="75"/>
      <c r="L28" s="106"/>
      <c r="M28" s="76"/>
    </row>
    <row r="29" spans="1:13" s="66" customFormat="1" ht="85.5" customHeight="1">
      <c r="A29" s="258" t="s">
        <v>172</v>
      </c>
      <c r="B29" s="259"/>
      <c r="C29" s="260"/>
      <c r="D29" s="258" t="s">
        <v>128</v>
      </c>
      <c r="E29" s="260"/>
      <c r="F29" s="258" t="s">
        <v>145</v>
      </c>
      <c r="G29" s="259"/>
      <c r="H29" s="260"/>
      <c r="I29" s="65">
        <v>4</v>
      </c>
      <c r="J29" s="65">
        <v>4</v>
      </c>
      <c r="K29" s="65">
        <v>5</v>
      </c>
      <c r="L29" s="106">
        <v>4.33</v>
      </c>
      <c r="M29" s="67"/>
    </row>
    <row r="30" spans="1:13" s="38" customFormat="1" ht="37.5" customHeight="1">
      <c r="A30" s="225" t="s">
        <v>203</v>
      </c>
      <c r="B30" s="226"/>
      <c r="C30" s="227"/>
      <c r="D30" s="225" t="s">
        <v>65</v>
      </c>
      <c r="E30" s="227"/>
      <c r="F30" s="225" t="s">
        <v>66</v>
      </c>
      <c r="G30" s="226"/>
      <c r="H30" s="227"/>
      <c r="I30" s="43">
        <v>4</v>
      </c>
      <c r="J30" s="43">
        <v>4</v>
      </c>
      <c r="K30" s="43">
        <v>4</v>
      </c>
      <c r="L30" s="62">
        <v>4</v>
      </c>
      <c r="M30" s="44"/>
    </row>
    <row r="31" spans="1:13" s="38" customFormat="1" ht="22.5" customHeight="1">
      <c r="A31" s="232" t="s">
        <v>122</v>
      </c>
      <c r="B31" s="233"/>
      <c r="C31" s="234"/>
      <c r="D31" s="95"/>
      <c r="E31" s="95"/>
      <c r="F31" s="95"/>
      <c r="G31" s="95"/>
      <c r="H31" s="95"/>
      <c r="I31" s="96"/>
      <c r="J31" s="96"/>
      <c r="K31" s="96"/>
      <c r="L31" s="97"/>
      <c r="M31" s="98"/>
    </row>
    <row r="32" spans="1:13" s="38" customFormat="1" ht="39" customHeight="1">
      <c r="A32" s="225" t="s">
        <v>182</v>
      </c>
      <c r="B32" s="226"/>
      <c r="C32" s="227"/>
      <c r="D32" s="228" t="s">
        <v>129</v>
      </c>
      <c r="E32" s="229"/>
      <c r="F32" s="230" t="s">
        <v>144</v>
      </c>
      <c r="G32" s="231"/>
      <c r="H32" s="229"/>
      <c r="I32" s="43">
        <v>5</v>
      </c>
      <c r="J32" s="43">
        <v>5</v>
      </c>
      <c r="K32" s="43">
        <v>5</v>
      </c>
      <c r="L32" s="62">
        <v>5</v>
      </c>
      <c r="M32" s="79"/>
    </row>
    <row r="33" spans="1:13" s="38" customFormat="1" ht="36" customHeight="1">
      <c r="A33" s="238" t="s">
        <v>188</v>
      </c>
      <c r="B33" s="239"/>
      <c r="C33" s="240"/>
      <c r="D33" s="223" t="s">
        <v>54</v>
      </c>
      <c r="E33" s="224"/>
      <c r="F33" s="225" t="s">
        <v>55</v>
      </c>
      <c r="G33" s="226"/>
      <c r="H33" s="227"/>
      <c r="I33" s="101">
        <v>5</v>
      </c>
      <c r="J33" s="101">
        <v>4</v>
      </c>
      <c r="K33" s="101">
        <v>4</v>
      </c>
      <c r="L33" s="99">
        <v>4.33</v>
      </c>
      <c r="M33" s="46"/>
    </row>
    <row r="34" spans="1:13" s="38" customFormat="1" ht="48" customHeight="1">
      <c r="A34" s="225" t="s">
        <v>189</v>
      </c>
      <c r="B34" s="226"/>
      <c r="C34" s="227"/>
      <c r="D34" s="225" t="s">
        <v>56</v>
      </c>
      <c r="E34" s="227"/>
      <c r="F34" s="225" t="s">
        <v>57</v>
      </c>
      <c r="G34" s="226"/>
      <c r="H34" s="227"/>
      <c r="I34" s="101">
        <v>5</v>
      </c>
      <c r="J34" s="101">
        <v>4</v>
      </c>
      <c r="K34" s="101">
        <v>4</v>
      </c>
      <c r="L34" s="99">
        <v>4.33</v>
      </c>
      <c r="M34" s="79"/>
    </row>
    <row r="35" spans="1:13" s="38" customFormat="1" ht="42" customHeight="1">
      <c r="A35" s="225" t="s">
        <v>190</v>
      </c>
      <c r="B35" s="226"/>
      <c r="C35" s="227"/>
      <c r="D35" s="225" t="s">
        <v>43</v>
      </c>
      <c r="E35" s="227"/>
      <c r="F35" s="235" t="s">
        <v>44</v>
      </c>
      <c r="G35" s="236"/>
      <c r="H35" s="237"/>
      <c r="I35" s="43">
        <v>5</v>
      </c>
      <c r="J35" s="43">
        <v>4</v>
      </c>
      <c r="K35" s="43">
        <v>4</v>
      </c>
      <c r="L35" s="100">
        <v>4.33</v>
      </c>
      <c r="M35" s="46"/>
    </row>
    <row r="36" spans="1:13" s="38" customFormat="1" ht="51.75" customHeight="1">
      <c r="A36" s="225" t="s">
        <v>191</v>
      </c>
      <c r="B36" s="226"/>
      <c r="C36" s="227"/>
      <c r="D36" s="230" t="s">
        <v>58</v>
      </c>
      <c r="E36" s="229"/>
      <c r="F36" s="230" t="s">
        <v>59</v>
      </c>
      <c r="G36" s="231"/>
      <c r="H36" s="229"/>
      <c r="I36" s="43">
        <v>5</v>
      </c>
      <c r="J36" s="43">
        <v>4</v>
      </c>
      <c r="K36" s="43">
        <v>4</v>
      </c>
      <c r="L36" s="100">
        <v>4.33</v>
      </c>
      <c r="M36" s="44"/>
    </row>
    <row r="37" spans="1:13" s="38" customFormat="1" ht="53.25" customHeight="1">
      <c r="A37" s="225" t="s">
        <v>192</v>
      </c>
      <c r="B37" s="226"/>
      <c r="C37" s="227"/>
      <c r="D37" s="225" t="s">
        <v>60</v>
      </c>
      <c r="E37" s="227"/>
      <c r="F37" s="225" t="s">
        <v>61</v>
      </c>
      <c r="G37" s="226"/>
      <c r="H37" s="227"/>
      <c r="I37" s="43">
        <v>4</v>
      </c>
      <c r="J37" s="43">
        <v>4</v>
      </c>
      <c r="K37" s="43">
        <v>4</v>
      </c>
      <c r="L37" s="100">
        <v>4</v>
      </c>
      <c r="M37" s="44"/>
    </row>
    <row r="38" spans="1:13" s="38" customFormat="1" ht="30.75" customHeight="1">
      <c r="A38" s="238" t="s">
        <v>193</v>
      </c>
      <c r="B38" s="239"/>
      <c r="C38" s="240"/>
      <c r="D38" s="238" t="s">
        <v>45</v>
      </c>
      <c r="E38" s="240"/>
      <c r="F38" s="242" t="s">
        <v>62</v>
      </c>
      <c r="G38" s="242"/>
      <c r="H38" s="242"/>
      <c r="I38" s="297">
        <v>4</v>
      </c>
      <c r="J38" s="297">
        <v>5</v>
      </c>
      <c r="K38" s="297">
        <v>5</v>
      </c>
      <c r="L38" s="299">
        <v>5</v>
      </c>
      <c r="M38" s="301"/>
    </row>
    <row r="39" spans="1:13" s="38" customFormat="1" ht="24.75" customHeight="1">
      <c r="A39" s="262"/>
      <c r="B39" s="264"/>
      <c r="C39" s="263"/>
      <c r="D39" s="262"/>
      <c r="E39" s="263"/>
      <c r="F39" s="242" t="s">
        <v>101</v>
      </c>
      <c r="G39" s="242"/>
      <c r="H39" s="242"/>
      <c r="I39" s="298"/>
      <c r="J39" s="298"/>
      <c r="K39" s="298"/>
      <c r="L39" s="300"/>
      <c r="M39" s="302"/>
    </row>
    <row r="40" spans="1:13" s="38" customFormat="1" ht="33" customHeight="1">
      <c r="A40" s="225" t="s">
        <v>194</v>
      </c>
      <c r="B40" s="226"/>
      <c r="C40" s="227"/>
      <c r="D40" s="225" t="s">
        <v>102</v>
      </c>
      <c r="E40" s="227"/>
      <c r="F40" s="225" t="s">
        <v>102</v>
      </c>
      <c r="G40" s="226"/>
      <c r="H40" s="227"/>
      <c r="I40" s="105">
        <v>5</v>
      </c>
      <c r="J40" s="105">
        <v>5</v>
      </c>
      <c r="K40" s="105">
        <v>4</v>
      </c>
      <c r="L40" s="106">
        <v>4.67</v>
      </c>
      <c r="M40" s="41"/>
    </row>
    <row r="41" spans="1:13" s="38" customFormat="1" ht="43.5" customHeight="1">
      <c r="A41" s="225" t="s">
        <v>195</v>
      </c>
      <c r="B41" s="226"/>
      <c r="C41" s="227"/>
      <c r="D41" s="225" t="s">
        <v>49</v>
      </c>
      <c r="E41" s="227"/>
      <c r="F41" s="225" t="s">
        <v>50</v>
      </c>
      <c r="G41" s="226"/>
      <c r="H41" s="227"/>
      <c r="I41" s="43">
        <v>5</v>
      </c>
      <c r="J41" s="43">
        <v>5</v>
      </c>
      <c r="K41" s="43">
        <v>4</v>
      </c>
      <c r="L41" s="106">
        <v>4.67</v>
      </c>
      <c r="M41" s="107"/>
    </row>
    <row r="42" spans="1:13" s="38" customFormat="1" ht="43.5" customHeight="1">
      <c r="A42" s="225" t="s">
        <v>196</v>
      </c>
      <c r="B42" s="226"/>
      <c r="C42" s="227"/>
      <c r="D42" s="225" t="s">
        <v>104</v>
      </c>
      <c r="E42" s="227"/>
      <c r="F42" s="225" t="s">
        <v>105</v>
      </c>
      <c r="G42" s="226"/>
      <c r="H42" s="227"/>
      <c r="I42" s="105">
        <v>5</v>
      </c>
      <c r="J42" s="105">
        <v>4</v>
      </c>
      <c r="K42" s="105">
        <v>4</v>
      </c>
      <c r="L42" s="106">
        <v>4.33</v>
      </c>
      <c r="M42" s="46"/>
    </row>
    <row r="43" spans="1:13" s="38" customFormat="1" ht="43.5" customHeight="1">
      <c r="A43" s="225" t="s">
        <v>197</v>
      </c>
      <c r="B43" s="226"/>
      <c r="C43" s="227"/>
      <c r="D43" s="225" t="s">
        <v>103</v>
      </c>
      <c r="E43" s="227"/>
      <c r="F43" s="225" t="s">
        <v>51</v>
      </c>
      <c r="G43" s="226"/>
      <c r="H43" s="227"/>
      <c r="I43" s="43">
        <v>5</v>
      </c>
      <c r="J43" s="43">
        <v>5</v>
      </c>
      <c r="K43" s="43">
        <v>5</v>
      </c>
      <c r="L43" s="106">
        <v>5</v>
      </c>
      <c r="M43" s="46"/>
    </row>
    <row r="44" spans="1:13" s="38" customFormat="1" ht="37.5" customHeight="1">
      <c r="A44" s="238" t="s">
        <v>198</v>
      </c>
      <c r="B44" s="239"/>
      <c r="C44" s="240"/>
      <c r="D44" s="238" t="s">
        <v>52</v>
      </c>
      <c r="E44" s="240"/>
      <c r="F44" s="261" t="s">
        <v>53</v>
      </c>
      <c r="G44" s="261"/>
      <c r="H44" s="261"/>
      <c r="I44" s="101">
        <v>5</v>
      </c>
      <c r="J44" s="101">
        <v>5</v>
      </c>
      <c r="K44" s="101">
        <v>4</v>
      </c>
      <c r="L44" s="106">
        <v>4.67</v>
      </c>
      <c r="M44" s="84"/>
    </row>
    <row r="45" spans="1:13" s="38" customFormat="1" ht="53.25" customHeight="1">
      <c r="A45" s="225" t="s">
        <v>199</v>
      </c>
      <c r="B45" s="226"/>
      <c r="C45" s="227"/>
      <c r="D45" s="225" t="s">
        <v>77</v>
      </c>
      <c r="E45" s="227"/>
      <c r="F45" s="242" t="s">
        <v>78</v>
      </c>
      <c r="G45" s="242"/>
      <c r="H45" s="242"/>
      <c r="I45" s="43">
        <v>5</v>
      </c>
      <c r="J45" s="43">
        <v>4</v>
      </c>
      <c r="K45" s="43">
        <v>4</v>
      </c>
      <c r="L45" s="106">
        <v>4.33</v>
      </c>
      <c r="M45" s="46"/>
    </row>
    <row r="46" spans="1:13" s="38" customFormat="1" ht="21.75" customHeight="1">
      <c r="A46" s="232" t="s">
        <v>123</v>
      </c>
      <c r="B46" s="233"/>
      <c r="C46" s="234"/>
      <c r="D46" s="225"/>
      <c r="E46" s="227"/>
      <c r="F46" s="225"/>
      <c r="G46" s="226"/>
      <c r="H46" s="227"/>
      <c r="I46" s="43"/>
      <c r="J46" s="43"/>
      <c r="K46" s="43"/>
      <c r="L46" s="62"/>
      <c r="M46" s="44"/>
    </row>
    <row r="47" spans="1:13" s="38" customFormat="1" ht="48" customHeight="1">
      <c r="A47" s="238" t="s">
        <v>221</v>
      </c>
      <c r="B47" s="239"/>
      <c r="C47" s="240"/>
      <c r="D47" s="241" t="s">
        <v>130</v>
      </c>
      <c r="E47" s="240"/>
      <c r="F47" s="242" t="s">
        <v>146</v>
      </c>
      <c r="G47" s="242"/>
      <c r="H47" s="242"/>
      <c r="I47" s="101">
        <v>5</v>
      </c>
      <c r="J47" s="101">
        <v>4</v>
      </c>
      <c r="K47" s="101">
        <v>4</v>
      </c>
      <c r="L47" s="62">
        <v>4.33</v>
      </c>
      <c r="M47" s="102"/>
    </row>
    <row r="48" spans="1:13" s="38" customFormat="1" ht="46.5" customHeight="1">
      <c r="A48" s="225" t="s">
        <v>173</v>
      </c>
      <c r="B48" s="226"/>
      <c r="C48" s="227"/>
      <c r="D48" s="238" t="s">
        <v>131</v>
      </c>
      <c r="E48" s="240"/>
      <c r="F48" s="238" t="s">
        <v>147</v>
      </c>
      <c r="G48" s="239"/>
      <c r="H48" s="240"/>
      <c r="I48" s="43">
        <v>5</v>
      </c>
      <c r="J48" s="43">
        <v>5</v>
      </c>
      <c r="K48" s="43">
        <v>5</v>
      </c>
      <c r="L48" s="62">
        <v>5</v>
      </c>
      <c r="M48" s="44"/>
    </row>
    <row r="49" spans="1:13" s="38" customFormat="1" ht="21.75" customHeight="1">
      <c r="A49" s="232" t="s">
        <v>132</v>
      </c>
      <c r="B49" s="233"/>
      <c r="C49" s="234"/>
      <c r="D49" s="59"/>
      <c r="E49" s="61"/>
      <c r="F49" s="59"/>
      <c r="G49" s="60"/>
      <c r="H49" s="61"/>
      <c r="I49" s="43"/>
      <c r="J49" s="43"/>
      <c r="K49" s="43"/>
      <c r="L49" s="62"/>
      <c r="M49" s="63"/>
    </row>
    <row r="50" spans="1:13" s="38" customFormat="1" ht="62.25" customHeight="1">
      <c r="A50" s="225" t="s">
        <v>168</v>
      </c>
      <c r="B50" s="226"/>
      <c r="C50" s="227"/>
      <c r="D50" s="225" t="s">
        <v>133</v>
      </c>
      <c r="E50" s="227"/>
      <c r="F50" s="225" t="s">
        <v>148</v>
      </c>
      <c r="G50" s="226"/>
      <c r="H50" s="227"/>
      <c r="I50" s="43">
        <v>5</v>
      </c>
      <c r="J50" s="43">
        <v>4</v>
      </c>
      <c r="K50" s="43">
        <v>5</v>
      </c>
      <c r="L50" s="62">
        <v>4.67</v>
      </c>
      <c r="M50" s="46"/>
    </row>
    <row r="51" spans="1:13" s="38" customFormat="1" ht="63" customHeight="1">
      <c r="A51" s="225" t="s">
        <v>169</v>
      </c>
      <c r="B51" s="226"/>
      <c r="C51" s="227"/>
      <c r="D51" s="225" t="s">
        <v>134</v>
      </c>
      <c r="E51" s="227"/>
      <c r="F51" s="242" t="s">
        <v>149</v>
      </c>
      <c r="G51" s="242"/>
      <c r="H51" s="242"/>
      <c r="I51" s="43">
        <v>4</v>
      </c>
      <c r="J51" s="43">
        <v>4</v>
      </c>
      <c r="K51" s="43">
        <v>4</v>
      </c>
      <c r="L51" s="62">
        <v>4</v>
      </c>
      <c r="M51" s="46"/>
    </row>
    <row r="52" spans="1:13" s="38" customFormat="1" ht="44.25" customHeight="1">
      <c r="A52" s="242" t="s">
        <v>187</v>
      </c>
      <c r="B52" s="242"/>
      <c r="C52" s="242"/>
      <c r="D52" s="225" t="s">
        <v>108</v>
      </c>
      <c r="E52" s="227"/>
      <c r="F52" s="225" t="s">
        <v>109</v>
      </c>
      <c r="G52" s="226"/>
      <c r="H52" s="227"/>
      <c r="I52" s="47">
        <v>5</v>
      </c>
      <c r="J52" s="47">
        <v>5</v>
      </c>
      <c r="K52" s="47">
        <v>4</v>
      </c>
      <c r="L52" s="106">
        <v>4.67</v>
      </c>
      <c r="M52" s="108"/>
    </row>
    <row r="53" spans="1:13" s="38" customFormat="1" ht="39" customHeight="1">
      <c r="A53" s="242" t="s">
        <v>202</v>
      </c>
      <c r="B53" s="242"/>
      <c r="C53" s="242"/>
      <c r="D53" s="242" t="s">
        <v>106</v>
      </c>
      <c r="E53" s="242"/>
      <c r="F53" s="242" t="s">
        <v>107</v>
      </c>
      <c r="G53" s="242"/>
      <c r="H53" s="242"/>
      <c r="I53" s="47">
        <v>5</v>
      </c>
      <c r="J53" s="47">
        <v>5</v>
      </c>
      <c r="K53" s="47">
        <v>5</v>
      </c>
      <c r="L53" s="106">
        <v>5</v>
      </c>
      <c r="M53" s="44"/>
    </row>
    <row r="54" spans="1:13" s="38" customFormat="1" ht="48" customHeight="1">
      <c r="A54" s="225" t="s">
        <v>200</v>
      </c>
      <c r="B54" s="226"/>
      <c r="C54" s="227"/>
      <c r="D54" s="225" t="s">
        <v>63</v>
      </c>
      <c r="E54" s="227"/>
      <c r="F54" s="225" t="s">
        <v>64</v>
      </c>
      <c r="G54" s="226"/>
      <c r="H54" s="227"/>
      <c r="I54" s="43">
        <v>5</v>
      </c>
      <c r="J54" s="43">
        <v>4</v>
      </c>
      <c r="K54" s="43">
        <v>5</v>
      </c>
      <c r="L54" s="62">
        <v>4.67</v>
      </c>
      <c r="M54" s="44"/>
    </row>
    <row r="55" spans="1:13" s="38" customFormat="1" ht="42.75" customHeight="1">
      <c r="A55" s="242" t="s">
        <v>201</v>
      </c>
      <c r="B55" s="242"/>
      <c r="C55" s="242"/>
      <c r="D55" s="242" t="s">
        <v>90</v>
      </c>
      <c r="E55" s="242"/>
      <c r="F55" s="242" t="s">
        <v>91</v>
      </c>
      <c r="G55" s="242"/>
      <c r="H55" s="242"/>
      <c r="I55" s="43">
        <v>5</v>
      </c>
      <c r="J55" s="43">
        <v>4</v>
      </c>
      <c r="K55" s="43">
        <v>4</v>
      </c>
      <c r="L55" s="106">
        <v>4.33</v>
      </c>
      <c r="M55" s="46"/>
    </row>
    <row r="56" spans="1:13" s="38" customFormat="1" ht="21.75" customHeight="1">
      <c r="A56" s="243" t="s">
        <v>124</v>
      </c>
      <c r="B56" s="244"/>
      <c r="C56" s="245"/>
      <c r="D56" s="262"/>
      <c r="E56" s="263"/>
      <c r="F56" s="262"/>
      <c r="G56" s="264"/>
      <c r="H56" s="263"/>
      <c r="I56" s="105"/>
      <c r="J56" s="105"/>
      <c r="K56" s="105"/>
      <c r="L56" s="62"/>
      <c r="M56" s="109"/>
    </row>
    <row r="57" spans="1:13" s="38" customFormat="1" ht="48.75" customHeight="1">
      <c r="A57" s="242" t="s">
        <v>174</v>
      </c>
      <c r="B57" s="242"/>
      <c r="C57" s="242"/>
      <c r="D57" s="242" t="s">
        <v>150</v>
      </c>
      <c r="E57" s="242"/>
      <c r="F57" s="242" t="s">
        <v>151</v>
      </c>
      <c r="G57" s="242"/>
      <c r="H57" s="242"/>
      <c r="I57" s="43">
        <v>5</v>
      </c>
      <c r="J57" s="43">
        <v>4</v>
      </c>
      <c r="K57" s="43">
        <v>4</v>
      </c>
      <c r="L57" s="62">
        <v>4.33</v>
      </c>
      <c r="M57" s="46"/>
    </row>
    <row r="58" spans="1:13" s="38" customFormat="1" ht="21.75" customHeight="1">
      <c r="A58" s="232" t="s">
        <v>125</v>
      </c>
      <c r="B58" s="233"/>
      <c r="C58" s="234"/>
      <c r="D58" s="225"/>
      <c r="E58" s="227"/>
      <c r="F58" s="225"/>
      <c r="G58" s="226"/>
      <c r="H58" s="227"/>
      <c r="I58" s="43"/>
      <c r="J58" s="43"/>
      <c r="K58" s="43"/>
      <c r="L58" s="62"/>
      <c r="M58" s="44"/>
    </row>
    <row r="59" spans="1:13" s="38" customFormat="1" ht="51" customHeight="1">
      <c r="A59" s="225" t="s">
        <v>170</v>
      </c>
      <c r="B59" s="226"/>
      <c r="C59" s="227"/>
      <c r="D59" s="225" t="s">
        <v>135</v>
      </c>
      <c r="E59" s="227"/>
      <c r="F59" s="225" t="s">
        <v>152</v>
      </c>
      <c r="G59" s="226"/>
      <c r="H59" s="227"/>
      <c r="I59" s="43">
        <v>5</v>
      </c>
      <c r="J59" s="43">
        <v>4</v>
      </c>
      <c r="K59" s="43">
        <v>4</v>
      </c>
      <c r="L59" s="62">
        <v>4.33</v>
      </c>
      <c r="M59" s="44"/>
    </row>
    <row r="60" spans="1:13" s="38" customFormat="1" ht="39" customHeight="1">
      <c r="A60" s="225" t="s">
        <v>171</v>
      </c>
      <c r="B60" s="226"/>
      <c r="C60" s="227"/>
      <c r="D60" s="225" t="s">
        <v>136</v>
      </c>
      <c r="E60" s="227"/>
      <c r="F60" s="225" t="s">
        <v>153</v>
      </c>
      <c r="G60" s="226"/>
      <c r="H60" s="227"/>
      <c r="I60" s="43">
        <v>4</v>
      </c>
      <c r="J60" s="43">
        <v>4</v>
      </c>
      <c r="K60" s="43">
        <v>4</v>
      </c>
      <c r="L60" s="62">
        <v>4</v>
      </c>
      <c r="M60" s="44"/>
    </row>
    <row r="61" spans="1:13" s="38" customFormat="1" ht="21.75" customHeight="1">
      <c r="A61" s="232" t="s">
        <v>126</v>
      </c>
      <c r="B61" s="233"/>
      <c r="C61" s="234"/>
      <c r="D61" s="225"/>
      <c r="E61" s="227"/>
      <c r="F61" s="225"/>
      <c r="G61" s="226"/>
      <c r="H61" s="227"/>
      <c r="I61" s="105"/>
      <c r="J61" s="105"/>
      <c r="K61" s="105"/>
      <c r="L61" s="62"/>
      <c r="M61" s="44"/>
    </row>
    <row r="62" spans="1:13" s="38" customFormat="1" ht="39" customHeight="1">
      <c r="A62" s="225" t="s">
        <v>175</v>
      </c>
      <c r="B62" s="226"/>
      <c r="C62" s="227"/>
      <c r="D62" s="225" t="s">
        <v>137</v>
      </c>
      <c r="E62" s="227"/>
      <c r="F62" s="225" t="s">
        <v>154</v>
      </c>
      <c r="G62" s="226"/>
      <c r="H62" s="227"/>
      <c r="I62" s="43">
        <v>5</v>
      </c>
      <c r="J62" s="43">
        <v>4</v>
      </c>
      <c r="K62" s="43">
        <v>4</v>
      </c>
      <c r="L62" s="62">
        <v>4.33</v>
      </c>
      <c r="M62" s="44"/>
    </row>
    <row r="63" spans="1:13" s="38" customFormat="1" ht="39" customHeight="1">
      <c r="A63" s="225" t="s">
        <v>176</v>
      </c>
      <c r="B63" s="226"/>
      <c r="C63" s="227"/>
      <c r="D63" s="225" t="s">
        <v>138</v>
      </c>
      <c r="E63" s="227"/>
      <c r="F63" s="225" t="s">
        <v>155</v>
      </c>
      <c r="G63" s="226"/>
      <c r="H63" s="227"/>
      <c r="I63" s="43">
        <v>5</v>
      </c>
      <c r="J63" s="43">
        <v>4</v>
      </c>
      <c r="K63" s="43">
        <v>4</v>
      </c>
      <c r="L63" s="62">
        <v>4.33</v>
      </c>
      <c r="M63" s="44"/>
    </row>
    <row r="64" spans="1:13" s="115" customFormat="1" ht="18.75" customHeight="1">
      <c r="A64" s="110" t="s">
        <v>37</v>
      </c>
      <c r="B64" s="111"/>
      <c r="C64" s="112"/>
      <c r="D64" s="112"/>
      <c r="E64" s="112"/>
      <c r="F64" s="112"/>
      <c r="G64" s="112"/>
      <c r="H64" s="112"/>
      <c r="I64" s="113"/>
      <c r="J64" s="113"/>
      <c r="K64" s="113"/>
      <c r="L64" s="62"/>
      <c r="M64" s="114"/>
    </row>
    <row r="65" spans="1:13" s="38" customFormat="1" ht="21.75" customHeight="1">
      <c r="A65" s="232" t="s">
        <v>127</v>
      </c>
      <c r="B65" s="233"/>
      <c r="C65" s="234"/>
      <c r="D65" s="225"/>
      <c r="E65" s="227"/>
      <c r="F65" s="225"/>
      <c r="G65" s="226"/>
      <c r="H65" s="227"/>
      <c r="I65" s="43"/>
      <c r="J65" s="43"/>
      <c r="K65" s="43"/>
      <c r="L65" s="62"/>
      <c r="M65" s="44"/>
    </row>
    <row r="66" spans="1:13" s="38" customFormat="1" ht="39" customHeight="1">
      <c r="A66" s="225" t="s">
        <v>177</v>
      </c>
      <c r="B66" s="226"/>
      <c r="C66" s="227"/>
      <c r="D66" s="225" t="s">
        <v>139</v>
      </c>
      <c r="E66" s="227"/>
      <c r="F66" s="225" t="s">
        <v>156</v>
      </c>
      <c r="G66" s="226"/>
      <c r="H66" s="227"/>
      <c r="I66" s="43">
        <v>4</v>
      </c>
      <c r="J66" s="43">
        <v>4</v>
      </c>
      <c r="K66" s="43">
        <v>4</v>
      </c>
      <c r="L66" s="62">
        <v>4</v>
      </c>
      <c r="M66" s="44"/>
    </row>
    <row r="67" spans="1:13" s="38" customFormat="1" ht="39" customHeight="1">
      <c r="A67" s="225" t="s">
        <v>178</v>
      </c>
      <c r="B67" s="226"/>
      <c r="C67" s="227"/>
      <c r="D67" s="225" t="s">
        <v>140</v>
      </c>
      <c r="E67" s="227"/>
      <c r="F67" s="225" t="s">
        <v>157</v>
      </c>
      <c r="G67" s="226"/>
      <c r="H67" s="227"/>
      <c r="I67" s="43">
        <v>4</v>
      </c>
      <c r="J67" s="43">
        <v>4</v>
      </c>
      <c r="K67" s="43">
        <v>4</v>
      </c>
      <c r="L67" s="62">
        <v>4</v>
      </c>
      <c r="M67" s="44"/>
    </row>
    <row r="68" spans="1:13" s="38" customFormat="1" ht="69" customHeight="1">
      <c r="A68" s="225" t="s">
        <v>184</v>
      </c>
      <c r="B68" s="226"/>
      <c r="C68" s="227"/>
      <c r="D68" s="225" t="s">
        <v>67</v>
      </c>
      <c r="E68" s="227"/>
      <c r="F68" s="225" t="s">
        <v>68</v>
      </c>
      <c r="G68" s="226"/>
      <c r="H68" s="227"/>
      <c r="I68" s="94">
        <v>5</v>
      </c>
      <c r="J68" s="43">
        <v>5</v>
      </c>
      <c r="K68" s="43">
        <v>4</v>
      </c>
      <c r="L68" s="62">
        <v>4.67</v>
      </c>
      <c r="M68" s="46"/>
    </row>
    <row r="69" spans="1:13" s="38" customFormat="1" ht="84" customHeight="1">
      <c r="A69" s="225" t="s">
        <v>185</v>
      </c>
      <c r="B69" s="226"/>
      <c r="C69" s="227"/>
      <c r="D69" s="225" t="s">
        <v>73</v>
      </c>
      <c r="E69" s="227"/>
      <c r="F69" s="225" t="s">
        <v>74</v>
      </c>
      <c r="G69" s="226"/>
      <c r="H69" s="227"/>
      <c r="I69" s="101">
        <v>5</v>
      </c>
      <c r="J69" s="101">
        <v>5</v>
      </c>
      <c r="K69" s="101">
        <v>4</v>
      </c>
      <c r="L69" s="62">
        <v>4.67</v>
      </c>
      <c r="M69" s="107"/>
    </row>
    <row r="70" spans="1:13" s="38" customFormat="1" ht="41.25" customHeight="1">
      <c r="A70" s="238" t="s">
        <v>204</v>
      </c>
      <c r="B70" s="239"/>
      <c r="C70" s="240"/>
      <c r="D70" s="238" t="s">
        <v>143</v>
      </c>
      <c r="E70" s="240"/>
      <c r="F70" s="238" t="s">
        <v>162</v>
      </c>
      <c r="G70" s="239"/>
      <c r="H70" s="240"/>
      <c r="I70" s="101">
        <v>5</v>
      </c>
      <c r="J70" s="101">
        <v>4</v>
      </c>
      <c r="K70" s="101">
        <v>4</v>
      </c>
      <c r="L70" s="144">
        <v>4.33</v>
      </c>
      <c r="M70" s="84"/>
    </row>
    <row r="71" spans="1:13" s="38" customFormat="1" ht="25.5" customHeight="1">
      <c r="A71" s="243" t="s">
        <v>186</v>
      </c>
      <c r="B71" s="244"/>
      <c r="C71" s="245"/>
      <c r="D71" s="103"/>
      <c r="E71" s="104"/>
      <c r="F71" s="103"/>
      <c r="G71" s="103"/>
      <c r="H71" s="104"/>
      <c r="I71" s="145"/>
      <c r="J71" s="145"/>
      <c r="K71" s="145"/>
      <c r="L71" s="106"/>
      <c r="M71" s="41"/>
    </row>
    <row r="72" spans="1:13" s="38" customFormat="1" ht="51.75" customHeight="1">
      <c r="A72" s="225" t="s">
        <v>217</v>
      </c>
      <c r="B72" s="226"/>
      <c r="C72" s="227"/>
      <c r="D72" s="225" t="s">
        <v>141</v>
      </c>
      <c r="E72" s="227"/>
      <c r="F72" s="225" t="s">
        <v>158</v>
      </c>
      <c r="G72" s="226"/>
      <c r="H72" s="227"/>
      <c r="I72" s="94">
        <v>4</v>
      </c>
      <c r="J72" s="43">
        <v>4</v>
      </c>
      <c r="K72" s="43">
        <v>4</v>
      </c>
      <c r="L72" s="62">
        <v>4</v>
      </c>
      <c r="M72" s="46"/>
    </row>
    <row r="73" spans="1:13" s="38" customFormat="1" ht="39" customHeight="1">
      <c r="A73" s="225" t="s">
        <v>218</v>
      </c>
      <c r="B73" s="226"/>
      <c r="C73" s="227"/>
      <c r="D73" s="225" t="s">
        <v>142</v>
      </c>
      <c r="E73" s="227"/>
      <c r="F73" s="225" t="s">
        <v>159</v>
      </c>
      <c r="G73" s="226"/>
      <c r="H73" s="227"/>
      <c r="I73" s="94">
        <v>4</v>
      </c>
      <c r="J73" s="43">
        <v>4</v>
      </c>
      <c r="K73" s="43">
        <v>4</v>
      </c>
      <c r="L73" s="62">
        <v>4</v>
      </c>
      <c r="M73" s="46"/>
    </row>
    <row r="74" spans="1:13" s="38" customFormat="1" ht="42" customHeight="1">
      <c r="A74" s="225" t="s">
        <v>207</v>
      </c>
      <c r="B74" s="226"/>
      <c r="C74" s="227"/>
      <c r="D74" s="225" t="s">
        <v>160</v>
      </c>
      <c r="E74" s="227"/>
      <c r="F74" s="247" t="s">
        <v>161</v>
      </c>
      <c r="G74" s="226"/>
      <c r="H74" s="227"/>
      <c r="I74" s="43">
        <v>5</v>
      </c>
      <c r="J74" s="43">
        <v>5</v>
      </c>
      <c r="K74" s="43">
        <v>4</v>
      </c>
      <c r="L74" s="62">
        <v>4.67</v>
      </c>
      <c r="M74" s="46"/>
    </row>
    <row r="75" spans="1:13" s="38" customFormat="1" ht="46.5" customHeight="1">
      <c r="A75" s="225" t="s">
        <v>204</v>
      </c>
      <c r="B75" s="226"/>
      <c r="C75" s="227"/>
      <c r="D75" s="225" t="s">
        <v>143</v>
      </c>
      <c r="E75" s="227"/>
      <c r="F75" s="225" t="s">
        <v>162</v>
      </c>
      <c r="G75" s="226"/>
      <c r="H75" s="227"/>
      <c r="I75" s="43">
        <v>5</v>
      </c>
      <c r="J75" s="43">
        <v>4</v>
      </c>
      <c r="K75" s="43">
        <v>4</v>
      </c>
      <c r="L75" s="62">
        <v>4.33</v>
      </c>
      <c r="M75" s="46"/>
    </row>
    <row r="76" spans="1:13" s="38" customFormat="1" ht="38.25" customHeight="1">
      <c r="A76" s="242" t="s">
        <v>213</v>
      </c>
      <c r="B76" s="242"/>
      <c r="C76" s="242"/>
      <c r="D76" s="242" t="s">
        <v>92</v>
      </c>
      <c r="E76" s="242"/>
      <c r="F76" s="242" t="s">
        <v>94</v>
      </c>
      <c r="G76" s="242"/>
      <c r="H76" s="242"/>
      <c r="I76" s="43">
        <v>5</v>
      </c>
      <c r="J76" s="43">
        <v>4</v>
      </c>
      <c r="K76" s="43">
        <v>4</v>
      </c>
      <c r="L76" s="62">
        <v>4.33</v>
      </c>
      <c r="M76" s="108"/>
    </row>
    <row r="77" spans="1:13" s="38" customFormat="1" ht="29.25" customHeight="1">
      <c r="A77" s="242" t="s">
        <v>214</v>
      </c>
      <c r="B77" s="242"/>
      <c r="C77" s="242"/>
      <c r="D77" s="242" t="s">
        <v>110</v>
      </c>
      <c r="E77" s="242"/>
      <c r="F77" s="242" t="s">
        <v>111</v>
      </c>
      <c r="G77" s="242"/>
      <c r="H77" s="242"/>
      <c r="I77" s="43">
        <v>4</v>
      </c>
      <c r="J77" s="43">
        <v>4</v>
      </c>
      <c r="K77" s="43">
        <v>4</v>
      </c>
      <c r="L77" s="62">
        <v>4</v>
      </c>
      <c r="M77" s="108"/>
    </row>
    <row r="78" spans="1:13" s="38" customFormat="1" ht="40.5" customHeight="1">
      <c r="A78" s="242" t="s">
        <v>215</v>
      </c>
      <c r="B78" s="242"/>
      <c r="C78" s="242"/>
      <c r="D78" s="242" t="s">
        <v>93</v>
      </c>
      <c r="E78" s="242"/>
      <c r="F78" s="242" t="s">
        <v>95</v>
      </c>
      <c r="G78" s="242"/>
      <c r="H78" s="242"/>
      <c r="I78" s="43">
        <v>5</v>
      </c>
      <c r="J78" s="43">
        <v>4</v>
      </c>
      <c r="K78" s="43">
        <v>4</v>
      </c>
      <c r="L78" s="62">
        <v>4.33</v>
      </c>
      <c r="M78" s="108"/>
    </row>
    <row r="79" spans="1:13" s="38" customFormat="1" ht="39" customHeight="1">
      <c r="A79" s="246" t="s">
        <v>216</v>
      </c>
      <c r="B79" s="246"/>
      <c r="C79" s="246"/>
      <c r="D79" s="246" t="s">
        <v>96</v>
      </c>
      <c r="E79" s="246"/>
      <c r="F79" s="246" t="s">
        <v>97</v>
      </c>
      <c r="G79" s="246"/>
      <c r="H79" s="246"/>
      <c r="I79" s="105">
        <v>5</v>
      </c>
      <c r="J79" s="105">
        <v>4</v>
      </c>
      <c r="K79" s="105">
        <v>4</v>
      </c>
      <c r="L79" s="62">
        <v>4.33</v>
      </c>
      <c r="M79" s="116"/>
    </row>
    <row r="80" spans="1:13" s="38" customFormat="1" ht="48" customHeight="1">
      <c r="A80" s="242" t="s">
        <v>211</v>
      </c>
      <c r="B80" s="242"/>
      <c r="C80" s="242"/>
      <c r="D80" s="242" t="s">
        <v>114</v>
      </c>
      <c r="E80" s="242"/>
      <c r="F80" s="242" t="s">
        <v>115</v>
      </c>
      <c r="G80" s="242"/>
      <c r="H80" s="242"/>
      <c r="I80" s="47">
        <v>5</v>
      </c>
      <c r="J80" s="47">
        <v>5</v>
      </c>
      <c r="K80" s="47">
        <v>4</v>
      </c>
      <c r="L80" s="62">
        <v>4.67</v>
      </c>
      <c r="M80" s="108"/>
    </row>
    <row r="81" spans="1:13" s="38" customFormat="1" ht="48" customHeight="1">
      <c r="A81" s="225" t="s">
        <v>212</v>
      </c>
      <c r="B81" s="226"/>
      <c r="C81" s="227"/>
      <c r="D81" s="242" t="s">
        <v>113</v>
      </c>
      <c r="E81" s="242"/>
      <c r="F81" s="225" t="s">
        <v>112</v>
      </c>
      <c r="G81" s="226"/>
      <c r="H81" s="227"/>
      <c r="I81" s="43">
        <v>5</v>
      </c>
      <c r="J81" s="43">
        <v>4</v>
      </c>
      <c r="K81" s="43">
        <v>4</v>
      </c>
      <c r="L81" s="62">
        <v>4.33</v>
      </c>
      <c r="M81" s="108"/>
    </row>
    <row r="82" spans="1:13" s="38" customFormat="1" ht="53.25" customHeight="1">
      <c r="A82" s="225" t="s">
        <v>206</v>
      </c>
      <c r="B82" s="226"/>
      <c r="C82" s="227"/>
      <c r="D82" s="225" t="s">
        <v>83</v>
      </c>
      <c r="E82" s="227"/>
      <c r="F82" s="225" t="s">
        <v>84</v>
      </c>
      <c r="G82" s="226"/>
      <c r="H82" s="227"/>
      <c r="I82" s="43">
        <v>5</v>
      </c>
      <c r="J82" s="43">
        <v>5</v>
      </c>
      <c r="K82" s="43">
        <v>5</v>
      </c>
      <c r="L82" s="62">
        <v>5</v>
      </c>
      <c r="M82" s="108"/>
    </row>
    <row r="83" spans="1:13" s="38" customFormat="1" ht="24" customHeight="1">
      <c r="A83" s="232" t="s">
        <v>123</v>
      </c>
      <c r="B83" s="233"/>
      <c r="C83" s="234"/>
      <c r="D83" s="59"/>
      <c r="E83" s="61"/>
      <c r="F83" s="59"/>
      <c r="G83" s="60"/>
      <c r="H83" s="61"/>
      <c r="I83" s="43"/>
      <c r="J83" s="43"/>
      <c r="K83" s="43"/>
      <c r="L83" s="62"/>
      <c r="M83" s="46"/>
    </row>
    <row r="84" spans="1:13" s="38" customFormat="1" ht="41.25" customHeight="1">
      <c r="A84" s="248" t="s">
        <v>208</v>
      </c>
      <c r="B84" s="249"/>
      <c r="C84" s="250"/>
      <c r="D84" s="248" t="s">
        <v>71</v>
      </c>
      <c r="E84" s="250"/>
      <c r="F84" s="248" t="s">
        <v>164</v>
      </c>
      <c r="G84" s="249"/>
      <c r="H84" s="250"/>
      <c r="I84" s="43">
        <v>4</v>
      </c>
      <c r="J84" s="43">
        <v>5</v>
      </c>
      <c r="K84" s="43">
        <v>4</v>
      </c>
      <c r="L84" s="62">
        <v>4.33</v>
      </c>
      <c r="M84" s="46"/>
    </row>
    <row r="85" spans="1:13" s="38" customFormat="1" ht="58.5" customHeight="1">
      <c r="A85" s="225" t="s">
        <v>209</v>
      </c>
      <c r="B85" s="226"/>
      <c r="C85" s="227"/>
      <c r="D85" s="225" t="s">
        <v>79</v>
      </c>
      <c r="E85" s="227"/>
      <c r="F85" s="225" t="s">
        <v>165</v>
      </c>
      <c r="G85" s="226"/>
      <c r="H85" s="227"/>
      <c r="I85" s="43">
        <v>5</v>
      </c>
      <c r="J85" s="43">
        <v>4</v>
      </c>
      <c r="K85" s="43">
        <v>4</v>
      </c>
      <c r="L85" s="62">
        <v>4.33</v>
      </c>
      <c r="M85" s="46"/>
    </row>
    <row r="86" spans="1:13" s="38" customFormat="1" ht="41.25" customHeight="1">
      <c r="A86" s="225" t="s">
        <v>210</v>
      </c>
      <c r="B86" s="226"/>
      <c r="C86" s="227"/>
      <c r="D86" s="225" t="s">
        <v>72</v>
      </c>
      <c r="E86" s="227"/>
      <c r="F86" s="225" t="s">
        <v>163</v>
      </c>
      <c r="G86" s="226"/>
      <c r="H86" s="227"/>
      <c r="I86" s="43">
        <v>4</v>
      </c>
      <c r="J86" s="43">
        <v>4</v>
      </c>
      <c r="K86" s="43">
        <v>4</v>
      </c>
      <c r="L86" s="62">
        <v>4</v>
      </c>
      <c r="M86" s="46"/>
    </row>
    <row r="87" spans="1:13" s="38" customFormat="1" ht="36.75" customHeight="1">
      <c r="A87" s="225" t="s">
        <v>205</v>
      </c>
      <c r="B87" s="226"/>
      <c r="C87" s="227"/>
      <c r="D87" s="225" t="s">
        <v>69</v>
      </c>
      <c r="E87" s="227"/>
      <c r="F87" s="225" t="s">
        <v>70</v>
      </c>
      <c r="G87" s="226"/>
      <c r="H87" s="227"/>
      <c r="I87" s="94">
        <v>4</v>
      </c>
      <c r="J87" s="43">
        <v>4</v>
      </c>
      <c r="K87" s="43">
        <v>4</v>
      </c>
      <c r="L87" s="62">
        <v>4</v>
      </c>
      <c r="M87" s="84"/>
    </row>
    <row r="88" spans="1:13" s="117" customFormat="1" ht="54.75" customHeight="1">
      <c r="A88" s="265" t="s">
        <v>207</v>
      </c>
      <c r="B88" s="266"/>
      <c r="C88" s="267"/>
      <c r="D88" s="265" t="s">
        <v>160</v>
      </c>
      <c r="E88" s="267"/>
      <c r="F88" s="268" t="s">
        <v>161</v>
      </c>
      <c r="G88" s="266"/>
      <c r="H88" s="267"/>
      <c r="I88" s="65">
        <v>5</v>
      </c>
      <c r="J88" s="65">
        <v>5</v>
      </c>
      <c r="K88" s="65">
        <v>4</v>
      </c>
      <c r="L88" s="144">
        <v>4.67</v>
      </c>
      <c r="M88" s="150"/>
    </row>
    <row r="89" spans="1:13" s="117" customFormat="1" ht="54.75" customHeight="1">
      <c r="A89" s="155"/>
      <c r="B89" s="155"/>
      <c r="C89" s="155"/>
      <c r="D89" s="155"/>
      <c r="E89" s="155"/>
      <c r="F89" s="156"/>
      <c r="G89" s="155"/>
      <c r="H89" s="155"/>
      <c r="I89" s="157"/>
      <c r="J89" s="157"/>
      <c r="K89" s="157"/>
      <c r="L89" s="147"/>
      <c r="M89" s="158"/>
    </row>
    <row r="90" spans="1:13" s="117" customFormat="1" ht="54.75" customHeight="1">
      <c r="A90" s="151"/>
      <c r="B90" s="151"/>
      <c r="C90" s="151"/>
      <c r="D90" s="151"/>
      <c r="E90" s="151"/>
      <c r="F90" s="152"/>
      <c r="G90" s="151"/>
      <c r="H90" s="151"/>
      <c r="I90" s="153"/>
      <c r="J90" s="153"/>
      <c r="K90" s="153"/>
      <c r="L90" s="146"/>
      <c r="M90" s="154"/>
    </row>
    <row r="91" spans="1:13" s="117" customFormat="1" ht="54.75" customHeight="1">
      <c r="A91" s="77"/>
      <c r="B91" s="77"/>
      <c r="C91" s="77"/>
      <c r="D91" s="77"/>
      <c r="E91" s="77"/>
      <c r="F91" s="159"/>
      <c r="G91" s="77"/>
      <c r="H91" s="77"/>
      <c r="I91" s="149"/>
      <c r="J91" s="149"/>
      <c r="K91" s="149"/>
      <c r="L91" s="148"/>
      <c r="M91" s="160"/>
    </row>
    <row r="92" spans="1:13" s="38" customFormat="1" ht="27" customHeight="1">
      <c r="A92" s="125" t="s">
        <v>11</v>
      </c>
      <c r="B92" s="118"/>
      <c r="C92" s="119"/>
      <c r="D92" s="118"/>
      <c r="E92" s="119"/>
      <c r="F92" s="120" t="s">
        <v>12</v>
      </c>
      <c r="G92" s="283" t="s">
        <v>13</v>
      </c>
      <c r="H92" s="274"/>
      <c r="I92" s="273" t="s">
        <v>14</v>
      </c>
      <c r="J92" s="283"/>
      <c r="K92" s="283"/>
      <c r="L92" s="283"/>
      <c r="M92" s="274"/>
    </row>
    <row r="93" spans="1:13" s="38" customFormat="1" ht="15.75">
      <c r="A93" s="269" t="s">
        <v>15</v>
      </c>
      <c r="B93" s="284"/>
      <c r="C93" s="121"/>
      <c r="D93" s="286" t="s">
        <v>39</v>
      </c>
      <c r="E93" s="287"/>
      <c r="F93" s="275" t="s">
        <v>223</v>
      </c>
      <c r="G93" s="290">
        <v>4.46</v>
      </c>
      <c r="H93" s="291"/>
      <c r="I93" s="312" t="s">
        <v>80</v>
      </c>
      <c r="J93" s="313"/>
      <c r="K93" s="313"/>
      <c r="L93" s="313"/>
      <c r="M93" s="314"/>
    </row>
    <row r="94" spans="1:13" s="38" customFormat="1" ht="15.75">
      <c r="A94" s="270"/>
      <c r="B94" s="285"/>
      <c r="C94" s="123"/>
      <c r="D94" s="288"/>
      <c r="E94" s="289"/>
      <c r="F94" s="276"/>
      <c r="G94" s="292"/>
      <c r="H94" s="293"/>
      <c r="I94" s="315"/>
      <c r="J94" s="316"/>
      <c r="K94" s="316"/>
      <c r="L94" s="316"/>
      <c r="M94" s="317"/>
    </row>
    <row r="95" spans="1:13" s="38" customFormat="1" ht="15.75">
      <c r="A95" s="269" t="s">
        <v>16</v>
      </c>
      <c r="B95" s="124"/>
      <c r="C95" s="121"/>
      <c r="D95" s="271" t="s">
        <v>40</v>
      </c>
      <c r="E95" s="272"/>
      <c r="F95" s="275" t="s">
        <v>224</v>
      </c>
      <c r="G95" s="294"/>
      <c r="H95" s="293"/>
      <c r="I95" s="315"/>
      <c r="J95" s="316"/>
      <c r="K95" s="316"/>
      <c r="L95" s="316"/>
      <c r="M95" s="317"/>
    </row>
    <row r="96" spans="1:13" s="38" customFormat="1" ht="15.75">
      <c r="A96" s="270"/>
      <c r="B96" s="118"/>
      <c r="C96" s="119"/>
      <c r="D96" s="273"/>
      <c r="E96" s="274"/>
      <c r="F96" s="276"/>
      <c r="G96" s="295"/>
      <c r="H96" s="296"/>
      <c r="I96" s="318"/>
      <c r="J96" s="319"/>
      <c r="K96" s="319"/>
      <c r="L96" s="319"/>
      <c r="M96" s="320"/>
    </row>
    <row r="97" spans="1:13" s="38" customFormat="1" ht="15.75">
      <c r="A97" s="126" t="s">
        <v>17</v>
      </c>
      <c r="B97" s="127"/>
      <c r="C97" s="127"/>
      <c r="D97" s="127"/>
      <c r="E97" s="127"/>
      <c r="F97" s="127"/>
      <c r="G97" s="127"/>
      <c r="H97" s="127"/>
      <c r="I97" s="127"/>
      <c r="J97" s="128"/>
      <c r="K97" s="128"/>
      <c r="L97" s="129"/>
      <c r="M97" s="107"/>
    </row>
    <row r="98" spans="1:13" s="38" customFormat="1" ht="15.75">
      <c r="A98" s="126"/>
      <c r="B98" s="127"/>
      <c r="C98" s="127"/>
      <c r="D98" s="127"/>
      <c r="E98" s="127"/>
      <c r="F98" s="127"/>
      <c r="G98" s="127"/>
      <c r="H98" s="127"/>
      <c r="I98" s="127"/>
      <c r="J98" s="127"/>
      <c r="K98" s="127"/>
      <c r="L98" s="138"/>
      <c r="M98" s="79"/>
    </row>
    <row r="99" spans="1:13" s="38" customFormat="1" ht="15.75">
      <c r="A99" s="126"/>
      <c r="B99" s="127"/>
      <c r="C99" s="127"/>
      <c r="D99" s="127"/>
      <c r="E99" s="127"/>
      <c r="F99" s="127"/>
      <c r="G99" s="127"/>
      <c r="H99" s="127"/>
      <c r="I99" s="127"/>
      <c r="J99" s="127"/>
      <c r="K99" s="127"/>
      <c r="L99" s="138"/>
      <c r="M99" s="79"/>
    </row>
    <row r="100" spans="1:13" s="38" customFormat="1" ht="15.75">
      <c r="A100" s="130"/>
      <c r="B100" s="131"/>
      <c r="C100" s="131"/>
      <c r="D100" s="131"/>
      <c r="E100" s="131"/>
      <c r="F100" s="131"/>
      <c r="G100" s="131"/>
      <c r="H100" s="131"/>
      <c r="I100" s="131"/>
      <c r="J100" s="131"/>
      <c r="K100" s="131"/>
      <c r="L100" s="132"/>
      <c r="M100" s="109"/>
    </row>
    <row r="101" spans="1:13" s="38" customFormat="1" ht="15.75">
      <c r="A101" s="133" t="s">
        <v>0</v>
      </c>
      <c r="B101" s="128"/>
      <c r="C101" s="129" t="s">
        <v>21</v>
      </c>
      <c r="D101" s="128"/>
      <c r="E101" s="128" t="s">
        <v>41</v>
      </c>
      <c r="F101" s="129" t="s">
        <v>21</v>
      </c>
      <c r="G101" s="128"/>
      <c r="H101" s="128"/>
      <c r="I101" s="128" t="s">
        <v>42</v>
      </c>
      <c r="J101" s="128"/>
      <c r="K101" s="128"/>
      <c r="L101" s="129"/>
      <c r="M101" s="107"/>
    </row>
    <row r="102" spans="1:13" s="38" customFormat="1" ht="15.75">
      <c r="A102" s="126"/>
      <c r="B102" s="127"/>
      <c r="C102" s="138"/>
      <c r="D102" s="127"/>
      <c r="E102" s="127"/>
      <c r="F102" s="138"/>
      <c r="G102" s="127"/>
      <c r="H102" s="127"/>
      <c r="I102" s="127"/>
      <c r="J102" s="127"/>
      <c r="K102" s="127"/>
      <c r="L102" s="138"/>
      <c r="M102" s="79"/>
    </row>
    <row r="103" spans="1:13" s="38" customFormat="1" ht="15.75">
      <c r="A103" s="126"/>
      <c r="B103" s="127"/>
      <c r="C103" s="127"/>
      <c r="D103" s="127"/>
      <c r="F103" s="134"/>
      <c r="G103" s="127"/>
      <c r="H103" s="127"/>
      <c r="I103" s="127"/>
      <c r="J103" s="127"/>
      <c r="K103" s="127"/>
      <c r="L103" s="138"/>
      <c r="M103" s="79"/>
    </row>
    <row r="104" spans="1:13" s="38" customFormat="1" ht="17.25">
      <c r="A104" s="277" t="s">
        <v>99</v>
      </c>
      <c r="B104" s="278"/>
      <c r="C104" s="131"/>
      <c r="D104" s="127"/>
      <c r="E104" s="135" t="s">
        <v>76</v>
      </c>
      <c r="F104" s="134"/>
      <c r="G104" s="127"/>
      <c r="H104" s="127"/>
      <c r="I104" s="127"/>
      <c r="J104" s="127"/>
      <c r="K104" s="127"/>
      <c r="L104" s="138"/>
      <c r="M104" s="79"/>
    </row>
    <row r="105" spans="1:13" s="38" customFormat="1" ht="15.75">
      <c r="A105" s="279" t="s">
        <v>98</v>
      </c>
      <c r="B105" s="280"/>
      <c r="D105" s="127"/>
      <c r="E105" s="136"/>
      <c r="F105" s="137"/>
      <c r="G105" s="281"/>
      <c r="H105" s="281"/>
      <c r="I105" s="127"/>
      <c r="J105" s="278" t="s">
        <v>46</v>
      </c>
      <c r="K105" s="278"/>
      <c r="L105" s="278"/>
      <c r="M105" s="282"/>
    </row>
    <row r="106" spans="1:13" s="38" customFormat="1" ht="42" customHeight="1">
      <c r="A106" s="139"/>
      <c r="C106" s="127"/>
      <c r="D106" s="127"/>
      <c r="E106" s="136" t="s">
        <v>118</v>
      </c>
      <c r="F106" s="140"/>
      <c r="G106" s="281"/>
      <c r="H106" s="281"/>
      <c r="I106" s="127"/>
      <c r="J106" s="280" t="s">
        <v>225</v>
      </c>
      <c r="K106" s="280"/>
      <c r="L106" s="280"/>
      <c r="M106" s="308"/>
    </row>
    <row r="107" spans="1:13" s="38" customFormat="1" ht="42" customHeight="1">
      <c r="A107" s="309"/>
      <c r="B107" s="310"/>
      <c r="C107" s="127"/>
      <c r="D107" s="127"/>
      <c r="E107" s="136" t="s">
        <v>119</v>
      </c>
      <c r="F107" s="90"/>
      <c r="G107" s="281"/>
      <c r="H107" s="281"/>
      <c r="I107" s="127"/>
      <c r="J107" s="310"/>
      <c r="K107" s="310"/>
      <c r="L107" s="310"/>
      <c r="M107" s="311"/>
    </row>
    <row r="108" spans="1:13" s="38" customFormat="1" ht="42" customHeight="1">
      <c r="A108" s="141"/>
      <c r="B108" s="142"/>
      <c r="C108" s="127"/>
      <c r="D108" s="127"/>
      <c r="E108" s="143" t="s">
        <v>117</v>
      </c>
      <c r="F108" s="90"/>
      <c r="G108" s="281"/>
      <c r="H108" s="281"/>
      <c r="I108" s="127"/>
      <c r="J108" s="127"/>
      <c r="K108" s="127"/>
      <c r="L108" s="138"/>
      <c r="M108" s="79"/>
    </row>
    <row r="109" spans="1:13" ht="42" customHeight="1">
      <c r="A109" s="13"/>
      <c r="B109" s="14"/>
      <c r="C109" s="14"/>
      <c r="D109" s="14"/>
      <c r="E109" s="31" t="s">
        <v>116</v>
      </c>
      <c r="F109" s="18"/>
      <c r="G109" s="166" t="s">
        <v>48</v>
      </c>
      <c r="H109" s="166"/>
      <c r="I109" s="14"/>
      <c r="J109" s="14"/>
      <c r="K109" s="14"/>
      <c r="L109" s="51"/>
      <c r="M109" s="8"/>
    </row>
    <row r="110" spans="1:13" ht="42" customHeight="1">
      <c r="A110" s="32"/>
      <c r="E110" s="31" t="s">
        <v>120</v>
      </c>
      <c r="F110" s="18"/>
      <c r="M110" s="33"/>
    </row>
    <row r="111" spans="1:13">
      <c r="A111" s="2"/>
      <c r="B111" s="1"/>
      <c r="C111" s="1"/>
      <c r="D111" s="1"/>
      <c r="E111" s="1"/>
      <c r="F111" s="1"/>
      <c r="G111" s="1"/>
      <c r="H111" s="1"/>
      <c r="I111" s="1"/>
      <c r="J111" s="1"/>
      <c r="K111" s="1"/>
      <c r="L111" s="73"/>
      <c r="M111" s="34"/>
    </row>
  </sheetData>
  <mergeCells count="217">
    <mergeCell ref="A1:M1"/>
    <mergeCell ref="A3:M3"/>
    <mergeCell ref="A4:M4"/>
    <mergeCell ref="A8:M8"/>
    <mergeCell ref="A9:M9"/>
    <mergeCell ref="G10:H10"/>
    <mergeCell ref="A25:B26"/>
    <mergeCell ref="D25:E25"/>
    <mergeCell ref="F25:H25"/>
    <mergeCell ref="I25:L25"/>
    <mergeCell ref="M25:M26"/>
    <mergeCell ref="D26:E26"/>
    <mergeCell ref="F26:H26"/>
    <mergeCell ref="A11:M11"/>
    <mergeCell ref="B15:C15"/>
    <mergeCell ref="G15:K15"/>
    <mergeCell ref="B16:C16"/>
    <mergeCell ref="G16:K16"/>
    <mergeCell ref="B17:C17"/>
    <mergeCell ref="G17:K17"/>
    <mergeCell ref="A30:C30"/>
    <mergeCell ref="D30:E30"/>
    <mergeCell ref="F30:H30"/>
    <mergeCell ref="A31:C31"/>
    <mergeCell ref="A32:C32"/>
    <mergeCell ref="D32:E32"/>
    <mergeCell ref="F32:H32"/>
    <mergeCell ref="A28:C28"/>
    <mergeCell ref="D28:E28"/>
    <mergeCell ref="F28:H28"/>
    <mergeCell ref="A29:C29"/>
    <mergeCell ref="D29:E29"/>
    <mergeCell ref="F29:H29"/>
    <mergeCell ref="A35:C35"/>
    <mergeCell ref="D35:E35"/>
    <mergeCell ref="F35:H35"/>
    <mergeCell ref="A36:C36"/>
    <mergeCell ref="D36:E36"/>
    <mergeCell ref="F36:H36"/>
    <mergeCell ref="A33:C33"/>
    <mergeCell ref="D33:E33"/>
    <mergeCell ref="F33:H33"/>
    <mergeCell ref="A34:C34"/>
    <mergeCell ref="D34:E34"/>
    <mergeCell ref="F34:H34"/>
    <mergeCell ref="I38:I39"/>
    <mergeCell ref="J38:J39"/>
    <mergeCell ref="K38:K39"/>
    <mergeCell ref="L38:L39"/>
    <mergeCell ref="M38:M39"/>
    <mergeCell ref="F39:H39"/>
    <mergeCell ref="A37:C37"/>
    <mergeCell ref="D37:E37"/>
    <mergeCell ref="F37:H37"/>
    <mergeCell ref="A38:C39"/>
    <mergeCell ref="D38:E39"/>
    <mergeCell ref="F38:H38"/>
    <mergeCell ref="A42:C42"/>
    <mergeCell ref="D42:E42"/>
    <mergeCell ref="F42:H42"/>
    <mergeCell ref="A43:C43"/>
    <mergeCell ref="D43:E43"/>
    <mergeCell ref="F43:H43"/>
    <mergeCell ref="A40:C40"/>
    <mergeCell ref="D40:E40"/>
    <mergeCell ref="F40:H40"/>
    <mergeCell ref="A41:C41"/>
    <mergeCell ref="D41:E41"/>
    <mergeCell ref="F41:H41"/>
    <mergeCell ref="A46:C46"/>
    <mergeCell ref="D46:E46"/>
    <mergeCell ref="F46:H46"/>
    <mergeCell ref="A47:C47"/>
    <mergeCell ref="D47:E47"/>
    <mergeCell ref="F47:H47"/>
    <mergeCell ref="A44:C44"/>
    <mergeCell ref="D44:E44"/>
    <mergeCell ref="F44:H44"/>
    <mergeCell ref="A45:C45"/>
    <mergeCell ref="D45:E45"/>
    <mergeCell ref="F45:H45"/>
    <mergeCell ref="A51:C51"/>
    <mergeCell ref="D51:E51"/>
    <mergeCell ref="F51:H51"/>
    <mergeCell ref="A52:C52"/>
    <mergeCell ref="D52:E52"/>
    <mergeCell ref="F52:H52"/>
    <mergeCell ref="A48:C48"/>
    <mergeCell ref="D48:E48"/>
    <mergeCell ref="F48:H48"/>
    <mergeCell ref="A49:C49"/>
    <mergeCell ref="A50:C50"/>
    <mergeCell ref="D50:E50"/>
    <mergeCell ref="F50:H50"/>
    <mergeCell ref="A55:C55"/>
    <mergeCell ref="D55:E55"/>
    <mergeCell ref="F55:H55"/>
    <mergeCell ref="A56:C56"/>
    <mergeCell ref="D56:E56"/>
    <mergeCell ref="F56:H56"/>
    <mergeCell ref="A53:C53"/>
    <mergeCell ref="D53:E53"/>
    <mergeCell ref="F53:H53"/>
    <mergeCell ref="A54:C54"/>
    <mergeCell ref="D54:E54"/>
    <mergeCell ref="F54:H54"/>
    <mergeCell ref="A59:C59"/>
    <mergeCell ref="D59:E59"/>
    <mergeCell ref="F59:H59"/>
    <mergeCell ref="A60:C60"/>
    <mergeCell ref="D60:E60"/>
    <mergeCell ref="F60:H60"/>
    <mergeCell ref="A57:C57"/>
    <mergeCell ref="D57:E57"/>
    <mergeCell ref="F57:H57"/>
    <mergeCell ref="A58:C58"/>
    <mergeCell ref="D58:E58"/>
    <mergeCell ref="F58:H58"/>
    <mergeCell ref="A63:C63"/>
    <mergeCell ref="D63:E63"/>
    <mergeCell ref="F63:H63"/>
    <mergeCell ref="A65:C65"/>
    <mergeCell ref="D65:E65"/>
    <mergeCell ref="F65:H65"/>
    <mergeCell ref="A61:C61"/>
    <mergeCell ref="D61:E61"/>
    <mergeCell ref="F61:H61"/>
    <mergeCell ref="A62:C62"/>
    <mergeCell ref="D62:E62"/>
    <mergeCell ref="F62:H62"/>
    <mergeCell ref="A68:C68"/>
    <mergeCell ref="D68:E68"/>
    <mergeCell ref="F68:H68"/>
    <mergeCell ref="A69:C69"/>
    <mergeCell ref="D69:E69"/>
    <mergeCell ref="F69:H69"/>
    <mergeCell ref="A66:C66"/>
    <mergeCell ref="D66:E66"/>
    <mergeCell ref="F66:H66"/>
    <mergeCell ref="A67:C67"/>
    <mergeCell ref="D67:E67"/>
    <mergeCell ref="F67:H67"/>
    <mergeCell ref="A73:C73"/>
    <mergeCell ref="D73:E73"/>
    <mergeCell ref="F73:H73"/>
    <mergeCell ref="A74:C74"/>
    <mergeCell ref="D74:E74"/>
    <mergeCell ref="F74:H74"/>
    <mergeCell ref="A70:C70"/>
    <mergeCell ref="D70:E70"/>
    <mergeCell ref="F70:H70"/>
    <mergeCell ref="A71:C71"/>
    <mergeCell ref="A72:C72"/>
    <mergeCell ref="D72:E72"/>
    <mergeCell ref="F72:H72"/>
    <mergeCell ref="A77:C77"/>
    <mergeCell ref="D77:E77"/>
    <mergeCell ref="F77:H77"/>
    <mergeCell ref="A78:C78"/>
    <mergeCell ref="D78:E78"/>
    <mergeCell ref="F78:H78"/>
    <mergeCell ref="A75:C75"/>
    <mergeCell ref="D75:E75"/>
    <mergeCell ref="F75:H75"/>
    <mergeCell ref="A76:C76"/>
    <mergeCell ref="D76:E76"/>
    <mergeCell ref="F76:H76"/>
    <mergeCell ref="A81:C81"/>
    <mergeCell ref="D81:E81"/>
    <mergeCell ref="F81:H81"/>
    <mergeCell ref="A82:C82"/>
    <mergeCell ref="D82:E82"/>
    <mergeCell ref="F82:H82"/>
    <mergeCell ref="A79:C79"/>
    <mergeCell ref="D79:E79"/>
    <mergeCell ref="F79:H79"/>
    <mergeCell ref="A80:C80"/>
    <mergeCell ref="D80:E80"/>
    <mergeCell ref="F80:H80"/>
    <mergeCell ref="A86:C86"/>
    <mergeCell ref="D86:E86"/>
    <mergeCell ref="F86:H86"/>
    <mergeCell ref="A87:C87"/>
    <mergeCell ref="D87:E87"/>
    <mergeCell ref="F87:H87"/>
    <mergeCell ref="A83:C83"/>
    <mergeCell ref="A84:C84"/>
    <mergeCell ref="D84:E84"/>
    <mergeCell ref="F84:H84"/>
    <mergeCell ref="A85:C85"/>
    <mergeCell ref="D85:E85"/>
    <mergeCell ref="F85:H85"/>
    <mergeCell ref="A88:C88"/>
    <mergeCell ref="D88:E88"/>
    <mergeCell ref="F88:H88"/>
    <mergeCell ref="G92:H92"/>
    <mergeCell ref="I92:M92"/>
    <mergeCell ref="A93:A94"/>
    <mergeCell ref="B93:B94"/>
    <mergeCell ref="D93:E94"/>
    <mergeCell ref="F93:F94"/>
    <mergeCell ref="G93:H96"/>
    <mergeCell ref="G109:H109"/>
    <mergeCell ref="G106:H106"/>
    <mergeCell ref="J106:M106"/>
    <mergeCell ref="A107:B107"/>
    <mergeCell ref="G107:H107"/>
    <mergeCell ref="J107:M107"/>
    <mergeCell ref="G108:H108"/>
    <mergeCell ref="I93:M96"/>
    <mergeCell ref="A95:A96"/>
    <mergeCell ref="D95:E96"/>
    <mergeCell ref="F95:F96"/>
    <mergeCell ref="A104:B104"/>
    <mergeCell ref="A105:B105"/>
    <mergeCell ref="G105:H105"/>
    <mergeCell ref="J105:M105"/>
  </mergeCells>
  <pageMargins left="0.25" right="0.25" top="0.44479166666666664" bottom="0.75" header="0.3" footer="0.3"/>
  <pageSetup paperSize="14" scale="70"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IPCRF-January to June, 2026</vt:lpstr>
      <vt:lpstr>OPCFR-January to June, 2026</vt:lpstr>
    </vt:vector>
  </TitlesOfParts>
  <Company>Enterprise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2026-07-07T03:07:03Z</cp:lastPrinted>
  <dcterms:created xsi:type="dcterms:W3CDTF">2015-02-17T09:06:00Z</dcterms:created>
  <dcterms:modified xsi:type="dcterms:W3CDTF">2026-07-18T03:43:58Z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75F24A30B5CA4263A889B8B3433F49B5</vt:lpwstr>
  </property>
  <property fmtid="{D5CDD505-2E9C-101B-9397-08002B2CF9AE}" pid="3" name="KSOProductBuildVer">
    <vt:lpwstr>1033-11.2.0.10351</vt:lpwstr>
  </property>
</Properties>
</file>